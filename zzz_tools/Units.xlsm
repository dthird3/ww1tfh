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1850" yWindow="-165" windowWidth="29040" windowHeight="1818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BN48" i="11" l="1"/>
  <c r="BO48" i="11"/>
  <c r="BP48" i="11"/>
  <c r="BQ48" i="11"/>
  <c r="BR48" i="11"/>
  <c r="BS48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Z50" i="11"/>
  <c r="DZ49" i="11"/>
  <c r="DZ48" i="11"/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2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20" i="11"/>
  <c r="DZ24" i="11"/>
  <c r="DZ26" i="11"/>
  <c r="DZ8" i="11"/>
  <c r="DZ4" i="11"/>
  <c r="DZ34" i="11"/>
  <c r="DZ14" i="11"/>
  <c r="DZ9" i="11"/>
  <c r="DZ5" i="11"/>
  <c r="DZ12" i="11"/>
  <c r="DZ17" i="11"/>
  <c r="DZ13" i="11"/>
  <c r="DZ16" i="11"/>
  <c r="DZ33" i="11"/>
  <c r="DZ11" i="11"/>
  <c r="DZ3" i="11"/>
  <c r="DZ7" i="11"/>
  <c r="DZ19" i="11"/>
  <c r="DZ31" i="11"/>
  <c r="DZ15" i="11"/>
  <c r="DZ2" i="11"/>
  <c r="DZ25" i="11"/>
  <c r="DZ30" i="11"/>
  <c r="DZ6" i="11"/>
  <c r="DZ27" i="11"/>
  <c r="DZ10" i="11"/>
  <c r="DZ21" i="11"/>
  <c r="DZ22" i="11"/>
  <c r="DZ18" i="11"/>
  <c r="DZ23" i="11"/>
  <c r="DZ37" i="11"/>
  <c r="DZ43" i="11"/>
  <c r="DZ44" i="11"/>
  <c r="DZ40" i="11"/>
  <c r="DZ46" i="11"/>
  <c r="DZ47" i="11"/>
  <c r="DZ45" i="11"/>
  <c r="DZ39" i="11"/>
  <c r="DZ38" i="11"/>
  <c r="DZ42" i="11"/>
  <c r="DZ41" i="11"/>
  <c r="A48" i="11" l="1"/>
  <c r="A49" i="11"/>
  <c r="A50" i="11"/>
  <c r="A33" i="11"/>
  <c r="A32" i="11"/>
  <c r="A46" i="1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6" i="11"/>
  <c r="A20" i="11"/>
  <c r="A34" i="11"/>
  <c r="A7" i="11"/>
  <c r="A21" i="11"/>
  <c r="A39" i="11"/>
  <c r="A31" i="11"/>
  <c r="A19" i="11"/>
  <c r="A11" i="11"/>
  <c r="A22" i="11"/>
  <c r="A40" i="11"/>
  <c r="A8" i="11"/>
  <c r="A16" i="11"/>
  <c r="A24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<sst xmlns="http://schemas.openxmlformats.org/spreadsheetml/2006/main" count="1795" uniqueCount="336">
  <si>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</si>
  <si>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</si>
  <si>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</si>
  <si>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</si>
  <si>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</si>
  <si>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</si>
  <si>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</si>
  <si>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</si>
  <si>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</si>
  <si>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</si>
  <si>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</si>
  <si>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</si>
  <si>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</si>
  <si>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</si>
  <si>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</si>
  <si>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</si>
  <si>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</si>
  <si>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</si>
  <si>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</si>
  <si>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</si>
  <si>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</si>
  <si>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</si>
  <si>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</si>
  <si>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</si>
  <si>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</si>
  <si>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</si>
  <si>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</si>
  <si>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</si>
  <si>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</si>
  <si>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</si>
  <si>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</si>
  <si>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</si>
  <si>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</si>
  <si>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</si>
  <si>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</si>
  <si>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</si>
  <si>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</si>
  <si>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</si>
  <si>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</si>
  <si>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</si>
  <si>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</si>
  <si>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</si>
  <si>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</si>
  <si>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</si>
  <si>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</si>
  <si>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</si>
  <si>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</si>
  <si>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</si>
  <si>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</si>
  <si>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</si>
  <si>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</si>
  <si>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</si>
  <si>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</si>
  <si>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</si>
  <si>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</si>
  <si>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</si>
  <si>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</si>
  <si>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</si>
  <si>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</si>
  <si>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</si>
  <si>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</si>
  <si>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</si>
  <si>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</si>
  <si>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</si>
  <si>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</si>
  <si>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</si>
  <si>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</si>
  <si>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</si>
  <si>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</si>
  <si>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</si>
  <si>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</si>
  <si>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</si>
  <si>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</si>
  <si>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</si>
  <si>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</si>
  <si>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</si>
  <si>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</si>
  <si>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</si>
  <si>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</si>
  <si>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</si>
  <si>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</si>
  <si>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</si>
  <si>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</si>
  <si>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</si>
  <si>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</si>
  <si>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</si>
  <si>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</si>
  <si>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</si>
  <si>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</si>
  <si>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</si>
  <si>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</si>
  <si>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</si>
  <si>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</si>
  <si>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</si>
  <si>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</si>
  <si>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</si>
  <si>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</si>
  <si>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</si>
  <si>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</si>
  <si>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</si>
  <si>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</si>
  <si>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</si>
  <si>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</si>
  <si>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</si>
  <si>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</si>
  <si>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</si>
  <si>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</si>
  <si>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</si>
  <si>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</si>
  <si>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</si>
  <si>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</si>
  <si>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</si>
  <si>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</si>
  <si>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</si>
  <si>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</si>
  <si>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</si>
  <si>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</si>
  <si>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</si>
  <si>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</si>
  <si>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</si>
  <si>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</si>
  <si>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</si>
  <si>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</si>
  <si>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</si>
  <si>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</si>
  <si>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</si>
  <si>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</si>
  <si>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</si>
  <si>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</si>
  <si>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</si>
  <si>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</si>
  <si>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</si>
  <si>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</si>
  <si>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</si>
  <si>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</si>
  <si>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</si>
  <si>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</si>
  <si>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</si>
  <si>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</si>
  <si>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</si>
  <si>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</si>
  <si>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</si>
  <si>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</si>
  <si>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</si>
  <si>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</si>
  <si>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</si>
  <si>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</si>
  <si>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</si>
  <si>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</si>
  <si>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</si>
  <si>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</si>
  <si>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</si>
  <si>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</si>
  <si>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</si>
  <si>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</si>
  <si>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</si>
  <si>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</si>
  <si>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</si>
  <si>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</si>
  <si>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</si>
  <si>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</si>
  <si>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</si>
  <si>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</si>
  <si>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</si>
  <si>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</si>
  <si>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</si>
  <si>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</si>
  <si>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</si>
  <si>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</si>
  <si>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</si>
  <si>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</si>
  <si>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</si>
  <si>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</si>
  <si>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</si>
  <si>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</si>
  <si>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</si>
  <si>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</si>
  <si>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</si>
  <si>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</si>
  <si>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</si>
  <si>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</si>
  <si>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</si>
  <si>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</si>
  <si>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</si>
  <si>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</si>
  <si>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</si>
  <si>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</si>
  <si>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</si>
  <si>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</si>
  <si>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</si>
  <si>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</si>
  <si>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</si>
  <si>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</si>
  <si>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</si>
  <si>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</si>
  <si>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</si>
  <si>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</si>
  <si>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</si>
  <si>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</si>
  <si>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</si>
  <si>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</si>
  <si>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</si>
  <si>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</si>
  <si>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</si>
  <si>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</si>
  <si>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</si>
  <si>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</si>
  <si>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</si>
  <si>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</si>
  <si>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</si>
  <si>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</si>
  <si>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</si>
  <si>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</si>
  <si>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</si>
  <si>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</si>
  <si>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</si>
  <si>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</si>
  <si>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</si>
  <si>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</si>
  <si>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</si>
  <si>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</si>
  <si>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</si>
  <si>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</si>
  <si>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</si>
  <si>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</si>
  <si>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</si>
  <si>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</si>
  <si>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</si>
  <si>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</si>
  <si>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</si>
  <si>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</si>
  <si>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</si>
  <si>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</si>
  <si>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</si>
  <si>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</si>
  <si>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</si>
  <si>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</si>
  <si>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</si>
  <si>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</si>
  <si>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</si>
  <si>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</si>
  <si>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</si>
  <si>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</si>
  <si>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</si>
  <si>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</si>
  <si>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</si>
  <si>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</si>
  <si>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</si>
  <si>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</si>
  <si>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</si>
  <si>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</si>
  <si>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</si>
  <si>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</si>
  <si>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</si>
  <si>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</si>
  <si>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</si>
  <si>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</si>
  <si>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</si>
  <si>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</si>
  <si>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</si>
  <si>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</si>
  <si>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</si>
  <si>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</si>
  <si>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</si>
  <si>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</si>
  <si>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</si>
  <si>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</si>
  <si>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</si>
  <si>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</si>
  <si>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</si>
  <si>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1.8</t>
  </si>
  <si>
    <t>1.70</t>
  </si>
  <si>
    <t>single_engine_aircraft_practical</t>
  </si>
  <si>
    <t>Fighter</t>
  </si>
  <si>
    <t>2.0</t>
  </si>
  <si>
    <t>3.45</t>
  </si>
  <si>
    <t>twin_engine_aircraft_practical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</si>
  <si>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</si>
  <si>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</si>
  <si>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</si>
  <si>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</si>
  <si>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</si>
  <si>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</si>
  <si>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</si>
  <si>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</si>
  <si>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</si>
  <si>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</si>
  <si>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</si>
  <si>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</si>
  <si>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</si>
  <si>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</si>
  <si>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</si>
  <si>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</si>
  <si>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</si>
  <si>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</si>
  <si>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</si>
  <si>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</si>
  <si>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</si>
  <si>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</si>
  <si>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</si>
  <si>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</si>
  <si>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</si>
  <si>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</si>
  <si>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</si>
  <si>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</si>
  <si>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</si>
  <si>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</si>
  <si>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</si>
  <si>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</si>
  <si>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</si>
  <si>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</si>
  <si>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</si>
  <si>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</si>
  <si>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transport_practical</t>
  </si>
  <si>
    <t>naval</t>
  </si>
  <si>
    <t>capitalship_practical</t>
  </si>
  <si>
    <t>Battlecruiser</t>
  </si>
  <si>
    <t>Battleship</t>
  </si>
  <si>
    <t>carrier_practical</t>
  </si>
  <si>
    <t>Carrier</t>
  </si>
  <si>
    <t>destroyer_practical</t>
  </si>
  <si>
    <t>Destroyer</t>
  </si>
  <si>
    <t>cruiser_practical</t>
  </si>
  <si>
    <t>HeavyCruiser</t>
  </si>
  <si>
    <t>LCTLandingcraft</t>
  </si>
  <si>
    <t>LightCruiser</t>
  </si>
  <si>
    <t>submarine_practical</t>
  </si>
  <si>
    <t>Submarine</t>
  </si>
  <si>
    <t>Transportship</t>
  </si>
  <si>
    <t>Make changes to the yellow cells on Data</t>
  </si>
  <si>
    <t>Press F9</t>
  </si>
  <si>
    <t>Press this button to export</t>
  </si>
  <si>
    <t>scout</t>
  </si>
  <si>
    <t>coastal_submarine</t>
  </si>
  <si>
    <t>longrange_submarine</t>
  </si>
  <si>
    <t>protected_cruiser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</si>
</sst>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  <xf numFmtId="2" fontId="0" fillId="0" borderId="0" xfId="0" applyNumberFormat="1" applyFill="1"/>
    <xf numFmtId="1" fontId="0" fillId="2" borderId="0" xfId="0" applyNumberFormat="1" applyFill="1"/>
    <xf numFmtId="1" fontId="0" fillId="0" borderId="0" xfId="0" applyNumberForma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51"/>
  <sheetViews>
    <sheetView tabSelected="1" zoomScale="55" zoomScaleNormal="55" workbookViewId="0">
      <pane xSplit="2" ySplit="1" topLeftCell="AZ2" activePane="bottomRight" state="frozen"/>
      <selection pane="topRight" activeCell="D1" sqref="D1"/>
      <selection pane="bottomLeft" activeCell="A2" sqref="A2"/>
      <selection pane="bottomRight" activeCell="DZ50" sqref="DZ50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278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279</v>
      </c>
      <c r="P29" s="1" t="s">
        <v>280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281</v>
      </c>
      <c r="X29" s="1" t="s">
        <v>39</v>
      </c>
      <c r="Y29" s="1" t="s">
        <v>282</v>
      </c>
      <c r="Z29" s="1" t="s">
        <v>50</v>
      </c>
      <c r="AA29" s="1" t="s">
        <v>28</v>
      </c>
      <c r="AB29" s="1" t="s">
        <v>283</v>
      </c>
      <c r="AC29" s="1" t="s">
        <v>284</v>
      </c>
      <c r="AD29" s="1" t="s">
        <v>42</v>
      </c>
      <c r="AE29" s="1" t="s">
        <v>285</v>
      </c>
      <c r="AF29" s="1" t="s">
        <v>286</v>
      </c>
      <c r="AG29" s="1" t="s">
        <v>287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>
        <v>1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1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1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0.5</v>
      </c>
      <c r="E31" s="6">
        <v>1.5</v>
      </c>
      <c r="F31" s="5">
        <v>1</v>
      </c>
      <c r="G31" s="5">
        <v>9</v>
      </c>
      <c r="H31" s="5" t="s">
        <v>269</v>
      </c>
      <c r="I31" s="5">
        <v>140</v>
      </c>
      <c r="J31" s="9" t="s">
        <v>270</v>
      </c>
      <c r="K31" s="5" t="s">
        <v>241</v>
      </c>
      <c r="L31" s="5" t="s">
        <v>263</v>
      </c>
      <c r="M31" s="5" t="s">
        <v>271</v>
      </c>
      <c r="N31" s="6">
        <v>0</v>
      </c>
      <c r="O31" s="5" t="s">
        <v>62</v>
      </c>
      <c r="P31" s="5" t="s">
        <v>159</v>
      </c>
      <c r="Q31" s="5" t="s">
        <v>137</v>
      </c>
      <c r="R31" s="6">
        <v>100</v>
      </c>
      <c r="S31" s="5" t="s">
        <v>133</v>
      </c>
      <c r="T31" s="5" t="s">
        <v>272</v>
      </c>
      <c r="U31" s="5" t="s">
        <v>146</v>
      </c>
      <c r="V31" s="5" t="s">
        <v>102</v>
      </c>
      <c r="W31" s="9">
        <v>125</v>
      </c>
      <c r="X31" s="5" t="s">
        <v>113</v>
      </c>
      <c r="Y31" s="6">
        <v>2</v>
      </c>
      <c r="Z31" s="5">
        <v>0</v>
      </c>
      <c r="AA31" s="5" t="s">
        <v>273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0.5</v>
      </c>
      <c r="BQ31" s="3" t="str">
        <f t="shared" si="68"/>
        <v>air_defence = 1.5</v>
      </c>
      <c r="BR31" s="3" t="str">
        <f t="shared" si="69"/>
        <v>air_detection = 1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140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0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100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125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0.5
air_defence = 1.5
air_detection = 1
build_cost_ic = 9
build_cost_manpower = 1.10
build_time = 140
completion_size = 1.8
default_morale = 0.30
default_organisation = 30
fuel_consumption = 1.70
hard_attack = 0
is_cag = yes
max_strength = 100
maximum_speed = 100
officers = 0
on_completion = single_engine_aircraft_practical
priority = 5
radio_strength = 1
range = 125
repair_cost_multiplier = 0.05
sea_attack = 2
soft_attack = 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332</v>
      </c>
      <c r="C32" s="5" t="s">
        <v>90</v>
      </c>
      <c r="D32" s="6">
        <v>0</v>
      </c>
      <c r="E32" s="6">
        <v>1</v>
      </c>
      <c r="F32" s="5">
        <v>0</v>
      </c>
      <c r="G32" s="5">
        <v>7</v>
      </c>
      <c r="H32" s="5">
        <v>1</v>
      </c>
      <c r="I32" s="5">
        <v>90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110</v>
      </c>
      <c r="S32" s="5" t="s">
        <v>133</v>
      </c>
      <c r="T32" s="5" t="s">
        <v>272</v>
      </c>
      <c r="U32" s="5">
        <v>2</v>
      </c>
      <c r="V32" s="5" t="s">
        <v>102</v>
      </c>
      <c r="W32" s="10">
        <v>110</v>
      </c>
      <c r="X32" s="5" t="s">
        <v>113</v>
      </c>
      <c r="Y32" s="6">
        <v>0</v>
      </c>
      <c r="Z32" s="5">
        <v>1</v>
      </c>
      <c r="AA32" s="5" t="s">
        <v>277</v>
      </c>
      <c r="AB32" s="6">
        <v>0</v>
      </c>
      <c r="AC32" s="6">
        <v>0</v>
      </c>
      <c r="AD32" s="5" t="s">
        <v>135</v>
      </c>
      <c r="AE32" s="5">
        <v>5</v>
      </c>
      <c r="AF32" s="5">
        <v>1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90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110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single_engine_aircraft_practical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110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1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
build_cost_ic = 7
build_cost_manpower = 1
build_time = 90
completion_size = 0.6
default_morale = 0.30
default_organisation = 30
fuel_consumption = 1.7
hard_attack = 0
is_bomber = yes
max_strength = 100
maximum_speed = 110
officers = 0
on_completion = single_engine_aircraft_practical
priority = 2
radio_strength = 1
range = 110
repair_cost_multiplier = 0.05
sea_attack = 0
soft_attack = 1
sprite = Tactical
strategic_attack = 0
sub_attack = 0
supply_consumption = 2.00
surface_defence = 5
surface_detection = 1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>
        <v>2</v>
      </c>
      <c r="G33" s="5">
        <v>12</v>
      </c>
      <c r="H33" s="5" t="s">
        <v>115</v>
      </c>
      <c r="I33" s="5">
        <v>120</v>
      </c>
      <c r="J33" s="9" t="s">
        <v>274</v>
      </c>
      <c r="K33" s="5" t="s">
        <v>241</v>
      </c>
      <c r="L33" s="5" t="s">
        <v>263</v>
      </c>
      <c r="M33" s="5" t="s">
        <v>271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140</v>
      </c>
      <c r="S33" s="5" t="s">
        <v>133</v>
      </c>
      <c r="T33" s="5" t="s">
        <v>272</v>
      </c>
      <c r="U33" s="5" t="s">
        <v>146</v>
      </c>
      <c r="V33" s="5" t="s">
        <v>102</v>
      </c>
      <c r="W33" s="9">
        <v>110</v>
      </c>
      <c r="X33" s="5" t="s">
        <v>113</v>
      </c>
      <c r="Y33" s="5" t="s">
        <v>106</v>
      </c>
      <c r="Z33" s="5">
        <v>0</v>
      </c>
      <c r="AA33" s="5" t="s">
        <v>273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2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120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140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110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2
build_cost_ic = 12
build_cost_manpower = 1.00
build_time = 120
completion_size = 2.0
default_morale = 0.30
default_organisation = 30
fuel_consumption = 1.70
hard_attack = 0.00
max_strength = 100
maximum_speed = 140
officers = 0
on_completion = single_engine_aircraft_practical
priority = 5
radio_strength = 1
range = 110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>
        <v>0</v>
      </c>
      <c r="G34" s="5">
        <v>14</v>
      </c>
      <c r="H34" s="5" t="s">
        <v>199</v>
      </c>
      <c r="I34" s="5">
        <v>180</v>
      </c>
      <c r="J34" s="9">
        <v>2.5</v>
      </c>
      <c r="K34" s="5" t="s">
        <v>241</v>
      </c>
      <c r="L34" s="5" t="s">
        <v>263</v>
      </c>
      <c r="M34" s="5" t="s">
        <v>275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120</v>
      </c>
      <c r="S34" s="5" t="s">
        <v>133</v>
      </c>
      <c r="T34" s="5" t="s">
        <v>276</v>
      </c>
      <c r="U34" s="5" t="s">
        <v>139</v>
      </c>
      <c r="V34" s="5" t="s">
        <v>102</v>
      </c>
      <c r="W34" s="10">
        <v>220</v>
      </c>
      <c r="X34" s="5" t="s">
        <v>113</v>
      </c>
      <c r="Y34" s="6">
        <v>0</v>
      </c>
      <c r="Z34" s="5">
        <v>3</v>
      </c>
      <c r="AA34" s="5" t="s">
        <v>277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180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120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220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
build_cost_ic = 14
build_cost_manpower = 1.60
build_time = 180
completion_size = 2.5
default_morale = 0.30
default_organisation = 30
fuel_consumption = 3.45
hard_attack = 1
is_bomber = yes
max_strength = 100
maximum_speed = 120
officers = 0
on_completion = twin_engine_aircraft_practical
priority = 3
radio_strength = 1
range = 220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298</v>
      </c>
      <c r="X36" s="1" t="s">
        <v>300</v>
      </c>
      <c r="Y36" s="1" t="s">
        <v>301</v>
      </c>
      <c r="Z36" s="1" t="s">
        <v>302</v>
      </c>
      <c r="AA36" s="1" t="s">
        <v>288</v>
      </c>
      <c r="AB36" s="1" t="s">
        <v>287</v>
      </c>
      <c r="AC36" s="1" t="s">
        <v>281</v>
      </c>
      <c r="AD36" s="1" t="s">
        <v>303</v>
      </c>
      <c r="AE36" s="1" t="s">
        <v>286</v>
      </c>
      <c r="AF36" s="1" t="s">
        <v>278</v>
      </c>
      <c r="AG36" s="1" t="s">
        <v>304</v>
      </c>
      <c r="AH36" s="1" t="s">
        <v>305</v>
      </c>
      <c r="AI36" s="1" t="s">
        <v>306</v>
      </c>
      <c r="AJ36" s="1" t="s">
        <v>307</v>
      </c>
      <c r="AK36" s="1" t="s">
        <v>282</v>
      </c>
      <c r="AL36" s="1" t="s">
        <v>284</v>
      </c>
      <c r="AM36" s="1" t="s">
        <v>308</v>
      </c>
      <c r="AN36" s="1" t="s">
        <v>309</v>
      </c>
      <c r="AO36" s="1" t="s">
        <v>310</v>
      </c>
      <c r="AP36" s="1" t="s">
        <v>311</v>
      </c>
      <c r="AQ36" s="1" t="s">
        <v>312</v>
      </c>
      <c r="AR36" s="1"/>
    </row>
    <row r="37" spans="1:130" s="3" customFormat="1" x14ac:dyDescent="0.25">
      <c r="A37" s="2" t="str">
        <f t="shared" ref="A37:A50" ca="1" si="131">$A$1&amp;"units\"&amp;B37&amp;".txt"</f>
        <v>C:\Program Files (x86)\Paradox Interactive\Hearts of Iron III\tfh\mod\ww1tfh\units\battlecruiser.txt</v>
      </c>
      <c r="B37" s="3" t="s">
        <v>289</v>
      </c>
      <c r="C37" s="5" t="s">
        <v>90</v>
      </c>
      <c r="D37" s="6">
        <v>0</v>
      </c>
      <c r="E37" s="6">
        <v>2</v>
      </c>
      <c r="F37" s="5">
        <v>5.5</v>
      </c>
      <c r="G37" s="5">
        <v>0.81</v>
      </c>
      <c r="H37" s="5">
        <v>600</v>
      </c>
      <c r="I37" s="5">
        <v>2.8</v>
      </c>
      <c r="J37" s="5">
        <v>0.3</v>
      </c>
      <c r="K37" s="5">
        <v>30</v>
      </c>
      <c r="L37" s="6">
        <v>1.6</v>
      </c>
      <c r="M37" s="5">
        <v>100</v>
      </c>
      <c r="N37" s="6">
        <v>23.35</v>
      </c>
      <c r="O37" s="5">
        <v>81</v>
      </c>
      <c r="P37" s="5" t="s">
        <v>315</v>
      </c>
      <c r="Q37" s="5">
        <v>10</v>
      </c>
      <c r="R37" s="5">
        <v>1</v>
      </c>
      <c r="S37" s="5">
        <v>0.05</v>
      </c>
      <c r="T37" s="5" t="s">
        <v>316</v>
      </c>
      <c r="U37" s="5">
        <v>0.8</v>
      </c>
      <c r="V37" s="5" t="s">
        <v>314</v>
      </c>
      <c r="W37" s="5" t="s">
        <v>62</v>
      </c>
      <c r="X37" s="6">
        <v>1</v>
      </c>
      <c r="Y37" s="5" t="s">
        <v>62</v>
      </c>
      <c r="Z37" s="5" t="s">
        <v>62</v>
      </c>
      <c r="AA37" s="5" t="s">
        <v>62</v>
      </c>
      <c r="AB37" s="5">
        <v>0</v>
      </c>
      <c r="AC37" s="5">
        <v>3425</v>
      </c>
      <c r="AD37" s="5">
        <v>0.22</v>
      </c>
      <c r="AE37" s="5">
        <v>1</v>
      </c>
      <c r="AF37" s="5">
        <v>1</v>
      </c>
      <c r="AG37" s="6">
        <v>0</v>
      </c>
      <c r="AH37" s="5">
        <v>80</v>
      </c>
      <c r="AI37" s="5">
        <v>3</v>
      </c>
      <c r="AJ37" s="13">
        <v>12</v>
      </c>
      <c r="AK37" s="11">
        <v>11.1</v>
      </c>
      <c r="AL37" s="5">
        <v>0</v>
      </c>
      <c r="AM37" s="5">
        <v>11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ref="BN37:BN45" si="132">B37&amp;" = {"</f>
        <v>battlecruiser = {</v>
      </c>
      <c r="BO37" s="3" t="str">
        <f t="shared" ref="BO37:BO47" si="133">IF(C37="","",C$36&amp;" = "&amp;C37)</f>
        <v>active = no</v>
      </c>
      <c r="BP37" s="3" t="str">
        <f t="shared" ref="BP37:BP47" si="134">IF(D37="","",D$36&amp;" = "&amp;D37)</f>
        <v>air_attack = 0</v>
      </c>
      <c r="BQ37" s="3" t="str">
        <f t="shared" ref="BQ37:BQ47" si="135">IF(E37="","",E$36&amp;" = "&amp;E37)</f>
        <v>air_defence = 2</v>
      </c>
      <c r="BR37" s="3" t="str">
        <f t="shared" ref="BR37:BR47" si="136">IF(F37="","",F$36&amp;" = "&amp;F37)</f>
        <v>build_cost_ic = 5.5</v>
      </c>
      <c r="BS37" s="3" t="str">
        <f t="shared" ref="BS37:BS47" si="137">IF(G37="","",G$36&amp;" = "&amp;G37)</f>
        <v>build_cost_manpower = 0.81</v>
      </c>
      <c r="BT37" s="3" t="str">
        <f t="shared" ref="BT37:BT47" si="138">IF(H37="","",H$36&amp;" = "&amp;H37)</f>
        <v>build_time = 600</v>
      </c>
      <c r="BU37" s="3" t="str">
        <f t="shared" ref="BU37:BU47" si="139">IF(I37="","",I$36&amp;" = "&amp;I37)</f>
        <v>completion_size = 2.8</v>
      </c>
      <c r="BV37" s="3" t="str">
        <f t="shared" ref="BV37:BV47" si="140">IF(J37="","",J$36&amp;" = "&amp;J37)</f>
        <v>default_morale = 0.3</v>
      </c>
      <c r="BW37" s="3" t="str">
        <f t="shared" ref="BW37:BW47" si="141">IF(K37="","",K$36&amp;" = "&amp;K37)</f>
        <v>default_organisation = 30</v>
      </c>
      <c r="BX37" s="3" t="str">
        <f t="shared" ref="BX37:BX47" si="142">IF(L37="","",L$36&amp;" = "&amp;L37)</f>
        <v>fuel_consumption = 1.6</v>
      </c>
      <c r="BY37" s="3" t="str">
        <f t="shared" ref="BY37:BY47" si="143">IF(M37="","",M$36&amp;" = "&amp;M37)</f>
        <v>max_strength = 100</v>
      </c>
      <c r="BZ37" s="3" t="str">
        <f t="shared" ref="BZ37:BZ47" si="144">IF(N37="","",N$36&amp;" = "&amp;N37)</f>
        <v>maximum_speed = 23.35</v>
      </c>
      <c r="CA37" s="3" t="str">
        <f t="shared" ref="CA37:CA47" si="145">IF(O37="","",O$36&amp;" = "&amp;O37)</f>
        <v>officers = 81</v>
      </c>
      <c r="CB37" s="3" t="str">
        <f t="shared" ref="CB37:CB47" si="146">IF(P37="","",P$36&amp;" = "&amp;P37)</f>
        <v>on_completion = capitalship_practical</v>
      </c>
      <c r="CC37" s="3" t="str">
        <f t="shared" ref="CC37:CC47" si="147">IF(Q37="","",Q$36&amp;" = "&amp;Q37)</f>
        <v>priority = 10</v>
      </c>
      <c r="CD37" s="3" t="str">
        <f t="shared" ref="CD37:CD47" si="148">IF(R37="","",R$36&amp;" = "&amp;R37)</f>
        <v>radio_strength = 1</v>
      </c>
      <c r="CE37" s="3" t="str">
        <f t="shared" ref="CE37:CE47" si="149">IF(S37="","",S$36&amp;" = "&amp;S37)</f>
        <v>repair_cost_multiplier = 0.05</v>
      </c>
      <c r="CF37" s="3" t="str">
        <f t="shared" ref="CF37:CF47" si="150">IF(T37="","",T$36&amp;" = "&amp;T37)</f>
        <v>sprite = Battlecruiser</v>
      </c>
      <c r="CG37" s="3" t="str">
        <f t="shared" ref="CG37:CG47" si="151">IF(U37="","",U$36&amp;" = "&amp;U37)</f>
        <v>supply_consumption = 0.8</v>
      </c>
      <c r="CH37" s="3" t="str">
        <f t="shared" ref="CH37:CH47" si="152">IF(V37="","",V$36&amp;" = "&amp;V37)</f>
        <v>type = naval</v>
      </c>
      <c r="CI37" s="3" t="str">
        <f t="shared" ref="CI37:CI47" si="153">IF(W37="","",W$36&amp;" = "&amp;W37)</f>
        <v/>
      </c>
      <c r="CJ37" s="3" t="str">
        <f t="shared" ref="CJ37:CJ47" si="154">IF(X37="","",X$36&amp;" = "&amp;X37)</f>
        <v>hull = 1</v>
      </c>
      <c r="CK37" s="3" t="str">
        <f t="shared" ref="CK37:CK47" si="155">IF(Y37="","",Y$36&amp;" = "&amp;Y37)</f>
        <v/>
      </c>
      <c r="CL37" s="3" t="str">
        <f t="shared" ref="CL37:CL47" si="156">IF(Z37="","",Z$36&amp;" = "&amp;Z37)</f>
        <v/>
      </c>
      <c r="CM37" s="3" t="str">
        <f t="shared" ref="CM37:CM47" si="157">IF(AA37="","",AA$36&amp;" = "&amp;AA37)</f>
        <v/>
      </c>
      <c r="CN37" s="3" t="str">
        <f t="shared" ref="CN37:CN47" si="158">IF(AB37="","",AB$36&amp;" = "&amp;AB37)</f>
        <v>transport_capability = 0</v>
      </c>
      <c r="CO37" s="3" t="str">
        <f t="shared" ref="CO37:CO47" si="159">IF(AC37="","",AC$36&amp;" = "&amp;AC37)</f>
        <v>range = 3425</v>
      </c>
      <c r="CP37" s="3" t="str">
        <f t="shared" ref="CP37:CP47" si="160">IF(AD37="","",AD$36&amp;" = "&amp;AD37)</f>
        <v>distance = 0.22</v>
      </c>
      <c r="CQ37" s="3" t="str">
        <f t="shared" ref="CQ37:CQ47" si="161">IF(AE37="","",AE$36&amp;" = "&amp;AE37)</f>
        <v>surface_detection = 1</v>
      </c>
      <c r="CR37" s="3" t="str">
        <f t="shared" ref="CR37:CR47" si="162">IF(AF37="","",AF$36&amp;" = "&amp;AF37)</f>
        <v>air_detection = 1</v>
      </c>
      <c r="CS37" s="3" t="str">
        <f t="shared" ref="CS37:CS47" si="163">IF(AG37="","",AG$36&amp;" = "&amp;AG37)</f>
        <v>sub_detection = 0</v>
      </c>
      <c r="CT37" s="3" t="str">
        <f t="shared" ref="CT37:CT47" si="164">IF(AH37="","",AH$36&amp;" = "&amp;AH37)</f>
        <v>visibility = 80</v>
      </c>
      <c r="CU37" s="3" t="str">
        <f t="shared" ref="CU37:CU47" si="165">IF(AI37="","",AI$36&amp;" = "&amp;AI37)</f>
        <v>sea_defence = 3</v>
      </c>
      <c r="CV37" s="3" t="str">
        <f t="shared" ref="CV37:CV47" si="166">IF(AJ37="","",AJ$36&amp;" = "&amp;AJ37)</f>
        <v>convoy_attack = 12</v>
      </c>
      <c r="CW37" s="3" t="str">
        <f t="shared" ref="CW37:CW47" si="167">IF(AK37="","",AK$36&amp;" = "&amp;AK37)</f>
        <v>sea_attack = 11.1</v>
      </c>
      <c r="CX37" s="3" t="str">
        <f t="shared" ref="CX37:CX47" si="168">IF(AL37="","",AL$36&amp;" = "&amp;AL37)</f>
        <v>sub_attack = 0</v>
      </c>
      <c r="CY37" s="3" t="str">
        <f t="shared" ref="CY37:CY47" si="169">IF(AM37="","",AM$36&amp;" = "&amp;AM37)</f>
        <v>shore_bombardment = 11</v>
      </c>
      <c r="CZ37" s="3" t="str">
        <f t="shared" ref="CZ37:CZ47" si="170">IF(AN37="","",AN$36&amp;" = "&amp;AN37)</f>
        <v>capital = yes</v>
      </c>
      <c r="DA37" s="3" t="str">
        <f t="shared" ref="DA37:DA47" si="171">IF(AO37="","",AO$36&amp;" = "&amp;AO37)</f>
        <v>can_be_pride = yes</v>
      </c>
      <c r="DB37" s="3" t="str">
        <f t="shared" ref="DB37:DB47" si="172">IF(AP37="","",AP$36&amp;" = "&amp;AP37)</f>
        <v/>
      </c>
      <c r="DC37" s="3" t="str">
        <f t="shared" ref="DC37:DC47" si="173">IF(AQ37="","",AQ$36&amp;" = "&amp;AQ37)</f>
        <v/>
      </c>
      <c r="DD37" s="3" t="s">
        <v>0</v>
      </c>
      <c r="DZ37" s="3" t="str">
        <f t="shared" ref="DZ37:DZ50" si="174">concat_code(BN37:DD37)</f>
        <v xml:space="preserve">battlecruiser = {
active = no
air_attack = 0
air_defence = 2
build_cost_ic = 5.5
build_cost_manpower = 0.81
build_time = 600
completion_size = 2.8
default_morale = 0.3
default_organisation = 30
fuel_consumption = 1.6
max_strength = 100
maximum_speed = 23.35
officers = 81
on_completion = capitalship_practical
priority = 10
radio_strength = 1
repair_cost_multiplier = 0.05
sprite = Battlecruiser
supply_consumption = 0.8
type = naval
hull = 1
transport_capability = 0
range = 3425
distance = 0.22
surface_detection = 1
air_detection = 1
sub_detection = 0
visibility = 80
sea_defence = 3
convoy_attack = 12
sea_attack = 11.1
sub_attack = 0
shore_bombardment = 11
capital = yes
can_be_pride = yes
}
</v>
      </c>
    </row>
    <row r="38" spans="1:130" s="3" customFormat="1" x14ac:dyDescent="0.25">
      <c r="A38" s="2" t="str">
        <f t="shared" ca="1" si="131"/>
        <v>C:\Program Files (x86)\Paradox Interactive\Hearts of Iron III\tfh\mod\ww1tfh\units\battleship.txt</v>
      </c>
      <c r="B38" s="3" t="s">
        <v>290</v>
      </c>
      <c r="C38" s="5" t="s">
        <v>90</v>
      </c>
      <c r="D38" s="6">
        <v>0</v>
      </c>
      <c r="E38" s="6">
        <v>2</v>
      </c>
      <c r="F38" s="5">
        <v>4.45</v>
      </c>
      <c r="G38" s="5">
        <v>0.4</v>
      </c>
      <c r="H38" s="5">
        <v>400</v>
      </c>
      <c r="I38" s="5">
        <v>1.5</v>
      </c>
      <c r="J38" s="5">
        <v>0.3</v>
      </c>
      <c r="K38" s="5">
        <v>30</v>
      </c>
      <c r="L38" s="6">
        <v>0.4</v>
      </c>
      <c r="M38" s="5">
        <v>100</v>
      </c>
      <c r="N38" s="6">
        <v>14.1</v>
      </c>
      <c r="O38" s="5">
        <v>40</v>
      </c>
      <c r="P38" s="5" t="s">
        <v>315</v>
      </c>
      <c r="Q38" s="5">
        <v>11</v>
      </c>
      <c r="R38" s="5">
        <v>1</v>
      </c>
      <c r="S38" s="5">
        <v>0.05</v>
      </c>
      <c r="T38" s="5" t="s">
        <v>317</v>
      </c>
      <c r="U38" s="5">
        <v>0.35</v>
      </c>
      <c r="V38" s="5" t="s">
        <v>314</v>
      </c>
      <c r="W38" s="5" t="s">
        <v>62</v>
      </c>
      <c r="X38" s="6">
        <v>0.45</v>
      </c>
      <c r="Y38" s="5" t="s">
        <v>62</v>
      </c>
      <c r="Z38" s="5" t="s">
        <v>62</v>
      </c>
      <c r="AA38" s="5" t="s">
        <v>62</v>
      </c>
      <c r="AB38" s="5">
        <v>0</v>
      </c>
      <c r="AC38" s="5">
        <v>2600</v>
      </c>
      <c r="AD38" s="5">
        <v>0.18</v>
      </c>
      <c r="AE38" s="5">
        <v>1</v>
      </c>
      <c r="AF38" s="5">
        <v>1</v>
      </c>
      <c r="AG38" s="6">
        <v>0</v>
      </c>
      <c r="AH38" s="5">
        <v>90</v>
      </c>
      <c r="AI38" s="5">
        <v>3.25</v>
      </c>
      <c r="AJ38" s="13">
        <v>12</v>
      </c>
      <c r="AK38" s="11">
        <v>7.1</v>
      </c>
      <c r="AL38" s="5">
        <v>0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battleship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4.45</v>
      </c>
      <c r="BS38" s="3" t="str">
        <f t="shared" si="137"/>
        <v>build_cost_manpower = 0.4</v>
      </c>
      <c r="BT38" s="3" t="str">
        <f t="shared" si="138"/>
        <v>build_time = 400</v>
      </c>
      <c r="BU38" s="3" t="str">
        <f t="shared" si="139"/>
        <v>completion_size = 1.5</v>
      </c>
      <c r="BV38" s="3" t="str">
        <f t="shared" si="140"/>
        <v>default_morale = 0.3</v>
      </c>
      <c r="BW38" s="3" t="str">
        <f t="shared" si="141"/>
        <v>default_organisation = 30</v>
      </c>
      <c r="BX38" s="3" t="str">
        <f t="shared" si="142"/>
        <v>fuel_consumption = 0.4</v>
      </c>
      <c r="BY38" s="3" t="str">
        <f t="shared" si="143"/>
        <v>max_strength = 100</v>
      </c>
      <c r="BZ38" s="3" t="str">
        <f t="shared" si="144"/>
        <v>maximum_speed = 14.1</v>
      </c>
      <c r="CA38" s="3" t="str">
        <f t="shared" si="145"/>
        <v>officers = 40</v>
      </c>
      <c r="CB38" s="3" t="str">
        <f t="shared" si="146"/>
        <v>on_completion = capitalship_practical</v>
      </c>
      <c r="CC38" s="3" t="str">
        <f t="shared" si="147"/>
        <v>priority = 11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Battleship</v>
      </c>
      <c r="CG38" s="3" t="str">
        <f t="shared" si="151"/>
        <v>supply_consumption = 0.35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0.45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</v>
      </c>
      <c r="CO38" s="3" t="str">
        <f t="shared" si="159"/>
        <v>range = 2600</v>
      </c>
      <c r="CP38" s="3" t="str">
        <f t="shared" si="160"/>
        <v>distance = 0.18</v>
      </c>
      <c r="CQ38" s="3" t="str">
        <f t="shared" si="161"/>
        <v>surface_detection = 1</v>
      </c>
      <c r="CR38" s="3" t="str">
        <f t="shared" si="162"/>
        <v>air_detection = 1</v>
      </c>
      <c r="CS38" s="3" t="str">
        <f t="shared" si="163"/>
        <v>sub_detection = 0</v>
      </c>
      <c r="CT38" s="3" t="str">
        <f t="shared" si="164"/>
        <v>visibility = 90</v>
      </c>
      <c r="CU38" s="3" t="str">
        <f t="shared" si="165"/>
        <v>sea_defence = 3.25</v>
      </c>
      <c r="CV38" s="3" t="str">
        <f t="shared" si="166"/>
        <v>convoy_attack = 12</v>
      </c>
      <c r="CW38" s="3" t="str">
        <f t="shared" si="167"/>
        <v>sea_attack = 7.1</v>
      </c>
      <c r="CX38" s="3" t="str">
        <f t="shared" si="168"/>
        <v>sub_attack = 0</v>
      </c>
      <c r="CY38" s="3" t="str">
        <f t="shared" si="169"/>
        <v>shore_bombardment = 9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battleship = {
active = no
air_attack = 0
air_defence = 2
build_cost_ic = 4.45
build_cost_manpower = 0.4
build_time = 400
completion_size = 1.5
default_morale = 0.3
default_organisation = 30
fuel_consumption = 0.4
max_strength = 100
maximum_speed = 14.1
officers = 40
on_completion = capitalship_practical
priority = 11
radio_strength = 1
repair_cost_multiplier = 0.05
sprite = Battleship
supply_consumption = 0.35
type = naval
hull = 0.45
transport_capability = 0
range = 2600
distance = 0.18
surface_detection = 1
air_detection = 1
sub_detection = 0
visibility = 90
sea_defence = 3.25
convoy_attack = 12
sea_attack = 7.1
sub_attack = 0
shore_bombardment = 9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III\tfh\mod\ww1tfh\units\carrier.txt</v>
      </c>
      <c r="B39" s="3" t="s">
        <v>291</v>
      </c>
      <c r="C39" s="5" t="s">
        <v>90</v>
      </c>
      <c r="D39" s="6">
        <v>0</v>
      </c>
      <c r="E39" s="6">
        <v>1.5</v>
      </c>
      <c r="F39" s="5">
        <v>4.95</v>
      </c>
      <c r="G39" s="5">
        <v>0.5</v>
      </c>
      <c r="H39" s="5">
        <v>600</v>
      </c>
      <c r="I39" s="5">
        <v>2.5</v>
      </c>
      <c r="J39" s="5">
        <v>0.3</v>
      </c>
      <c r="K39" s="5">
        <v>30</v>
      </c>
      <c r="L39" s="6">
        <v>1</v>
      </c>
      <c r="M39" s="5">
        <v>100</v>
      </c>
      <c r="N39" s="6">
        <v>20</v>
      </c>
      <c r="O39" s="5">
        <v>50</v>
      </c>
      <c r="P39" s="5" t="s">
        <v>318</v>
      </c>
      <c r="Q39" s="5">
        <v>13</v>
      </c>
      <c r="R39" s="5">
        <v>1.25</v>
      </c>
      <c r="S39" s="5">
        <v>0.05</v>
      </c>
      <c r="T39" s="5" t="s">
        <v>319</v>
      </c>
      <c r="U39" s="5">
        <v>0.6</v>
      </c>
      <c r="V39" s="5" t="s">
        <v>314</v>
      </c>
      <c r="W39" s="5" t="s">
        <v>62</v>
      </c>
      <c r="X39" s="6">
        <v>0.75</v>
      </c>
      <c r="Y39" s="5" t="s">
        <v>62</v>
      </c>
      <c r="Z39" s="5" t="s">
        <v>62</v>
      </c>
      <c r="AA39" s="5" t="s">
        <v>62</v>
      </c>
      <c r="AB39" s="5">
        <v>0</v>
      </c>
      <c r="AC39" s="5">
        <v>3200</v>
      </c>
      <c r="AD39" s="5">
        <v>1</v>
      </c>
      <c r="AE39" s="5">
        <v>1</v>
      </c>
      <c r="AF39" s="5">
        <v>2</v>
      </c>
      <c r="AG39" s="6">
        <v>0</v>
      </c>
      <c r="AH39" s="5">
        <v>100</v>
      </c>
      <c r="AI39" s="5">
        <v>3.25</v>
      </c>
      <c r="AJ39" s="13">
        <v>0</v>
      </c>
      <c r="AK39" s="11">
        <v>0</v>
      </c>
      <c r="AL39" s="5">
        <v>0</v>
      </c>
      <c r="AM39" s="5">
        <v>0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32"/>
        <v>carrier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1.5</v>
      </c>
      <c r="BR39" s="3" t="str">
        <f t="shared" si="136"/>
        <v>build_cost_ic = 4.95</v>
      </c>
      <c r="BS39" s="3" t="str">
        <f t="shared" si="137"/>
        <v>build_cost_manpower = 0.5</v>
      </c>
      <c r="BT39" s="3" t="str">
        <f t="shared" si="138"/>
        <v>build_time = 600</v>
      </c>
      <c r="BU39" s="3" t="str">
        <f t="shared" si="139"/>
        <v>completion_size = 2.5</v>
      </c>
      <c r="BV39" s="3" t="str">
        <f t="shared" si="140"/>
        <v>default_morale = 0.3</v>
      </c>
      <c r="BW39" s="3" t="str">
        <f t="shared" si="141"/>
        <v>default_organisation = 30</v>
      </c>
      <c r="BX39" s="3" t="str">
        <f t="shared" si="142"/>
        <v>fuel_consumption = 1</v>
      </c>
      <c r="BY39" s="3" t="str">
        <f t="shared" si="143"/>
        <v>max_strength = 100</v>
      </c>
      <c r="BZ39" s="3" t="str">
        <f t="shared" si="144"/>
        <v>maximum_speed = 20</v>
      </c>
      <c r="CA39" s="3" t="str">
        <f t="shared" si="145"/>
        <v>officers = 50</v>
      </c>
      <c r="CB39" s="3" t="str">
        <f t="shared" si="146"/>
        <v>on_completion = carrier_practical</v>
      </c>
      <c r="CC39" s="3" t="str">
        <f t="shared" si="147"/>
        <v>priority = 13</v>
      </c>
      <c r="CD39" s="3" t="str">
        <f t="shared" si="148"/>
        <v>radio_strength = 1.25</v>
      </c>
      <c r="CE39" s="3" t="str">
        <f t="shared" si="149"/>
        <v>repair_cost_multiplier = 0.05</v>
      </c>
      <c r="CF39" s="3" t="str">
        <f t="shared" si="150"/>
        <v>sprite = Carrier</v>
      </c>
      <c r="CG39" s="3" t="str">
        <f t="shared" si="151"/>
        <v>supply_consumption = 0.6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0.75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</v>
      </c>
      <c r="CO39" s="3" t="str">
        <f t="shared" si="159"/>
        <v>range = 3200</v>
      </c>
      <c r="CP39" s="3" t="str">
        <f t="shared" si="160"/>
        <v>distance = 1</v>
      </c>
      <c r="CQ39" s="3" t="str">
        <f t="shared" si="161"/>
        <v>surface_detection = 1</v>
      </c>
      <c r="CR39" s="3" t="str">
        <f t="shared" si="162"/>
        <v>air_detection = 2</v>
      </c>
      <c r="CS39" s="3" t="str">
        <f t="shared" si="163"/>
        <v>sub_detection = 0</v>
      </c>
      <c r="CT39" s="3" t="str">
        <f t="shared" si="164"/>
        <v>visibility = 100</v>
      </c>
      <c r="CU39" s="3" t="str">
        <f t="shared" si="165"/>
        <v>sea_defence = 3.25</v>
      </c>
      <c r="CV39" s="3" t="str">
        <f t="shared" si="166"/>
        <v>convoy_attack = 0</v>
      </c>
      <c r="CW39" s="3" t="str">
        <f t="shared" si="167"/>
        <v>sea_attack = 0</v>
      </c>
      <c r="CX39" s="3" t="str">
        <f t="shared" si="168"/>
        <v>sub_attack = 0</v>
      </c>
      <c r="CY39" s="3" t="str">
        <f t="shared" si="169"/>
        <v>shore_bombardment = 0</v>
      </c>
      <c r="CZ39" s="3" t="str">
        <f t="shared" si="170"/>
        <v>capital = yes</v>
      </c>
      <c r="DA39" s="3" t="str">
        <f t="shared" si="171"/>
        <v/>
      </c>
      <c r="DB39" s="3" t="str">
        <f t="shared" si="172"/>
        <v>carrier_size = 3</v>
      </c>
      <c r="DC39" s="3" t="str">
        <f t="shared" si="173"/>
        <v/>
      </c>
      <c r="DD39" s="3" t="s">
        <v>0</v>
      </c>
      <c r="DZ39" s="3" t="str">
        <f t="shared" si="174"/>
        <v xml:space="preserve">carrier = {
active = no
air_attack = 0
air_defence = 1.5
build_cost_ic = 4.95
build_cost_manpower = 0.5
build_time = 600
completion_size = 2.5
default_morale = 0.3
default_organisation = 30
fuel_consumption = 1
max_strength = 100
maximum_speed = 20
officers = 50
on_completion = carrier_practical
priority = 13
radio_strength = 1.25
repair_cost_multiplier = 0.05
sprite = Carrier
supply_consumption = 0.6
type = naval
hull = 0.75
transport_capability = 0
range = 3200
distance = 1
surface_detection = 1
air_detection = 2
sub_detection = 0
visibility = 100
sea_defence = 3.25
convoy_attack = 0
sea_attack = 0
sub_attack = 0
shore_bombardment = 0
capital = yes
carrier_size = 3
}
</v>
      </c>
    </row>
    <row r="40" spans="1:130" s="3" customFormat="1" x14ac:dyDescent="0.25">
      <c r="A40" s="2" t="str">
        <f t="shared" ca="1" si="131"/>
        <v>C:\Program Files (x86)\Paradox Interactive\Hearts of Iron III\tfh\mod\ww1tfh\units\destroyer.txt</v>
      </c>
      <c r="B40" s="3" t="s">
        <v>292</v>
      </c>
      <c r="C40" s="5" t="s">
        <v>90</v>
      </c>
      <c r="D40" s="6">
        <v>0</v>
      </c>
      <c r="E40" s="6">
        <v>1.5</v>
      </c>
      <c r="F40" s="5">
        <v>2.4500000000000002</v>
      </c>
      <c r="G40" s="5">
        <v>0.42</v>
      </c>
      <c r="H40" s="5">
        <v>190</v>
      </c>
      <c r="I40" s="5">
        <v>0.4</v>
      </c>
      <c r="J40" s="5">
        <v>0.3</v>
      </c>
      <c r="K40" s="5">
        <v>30</v>
      </c>
      <c r="L40" s="6">
        <v>0.2</v>
      </c>
      <c r="M40" s="5">
        <v>100</v>
      </c>
      <c r="N40" s="6">
        <v>22.95</v>
      </c>
      <c r="O40" s="5">
        <v>42</v>
      </c>
      <c r="P40" s="5" t="s">
        <v>320</v>
      </c>
      <c r="Q40" s="5">
        <v>5</v>
      </c>
      <c r="R40" s="5">
        <v>1</v>
      </c>
      <c r="S40" s="5">
        <v>0.05</v>
      </c>
      <c r="T40" s="5" t="s">
        <v>321</v>
      </c>
      <c r="U40" s="5">
        <v>0.1</v>
      </c>
      <c r="V40" s="5" t="s">
        <v>314</v>
      </c>
      <c r="W40" s="5" t="s">
        <v>62</v>
      </c>
      <c r="X40" s="6">
        <v>0.1</v>
      </c>
      <c r="Y40" s="5" t="s">
        <v>62</v>
      </c>
      <c r="Z40" s="5" t="s">
        <v>62</v>
      </c>
      <c r="AA40" s="5" t="s">
        <v>62</v>
      </c>
      <c r="AB40" s="5">
        <v>0</v>
      </c>
      <c r="AC40" s="5">
        <v>575</v>
      </c>
      <c r="AD40" s="5">
        <v>0.06</v>
      </c>
      <c r="AE40" s="5">
        <v>3</v>
      </c>
      <c r="AF40" s="5">
        <v>2</v>
      </c>
      <c r="AG40" s="6">
        <v>3</v>
      </c>
      <c r="AH40" s="5">
        <v>50</v>
      </c>
      <c r="AI40" s="5">
        <v>14.75</v>
      </c>
      <c r="AJ40" s="13">
        <v>2</v>
      </c>
      <c r="AK40" s="11">
        <v>0.1</v>
      </c>
      <c r="AL40" s="6">
        <v>3</v>
      </c>
      <c r="AM40" s="5">
        <v>0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32"/>
        <v>destroyer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2.45</v>
      </c>
      <c r="BS40" s="3" t="str">
        <f t="shared" si="137"/>
        <v>build_cost_manpower = 0.42</v>
      </c>
      <c r="BT40" s="3" t="str">
        <f t="shared" si="138"/>
        <v>build_time = 190</v>
      </c>
      <c r="BU40" s="3" t="str">
        <f t="shared" si="139"/>
        <v>completion_size = 0.4</v>
      </c>
      <c r="BV40" s="3" t="str">
        <f t="shared" si="140"/>
        <v>default_morale = 0.3</v>
      </c>
      <c r="BW40" s="3" t="str">
        <f t="shared" si="141"/>
        <v>default_organisation = 30</v>
      </c>
      <c r="BX40" s="3" t="str">
        <f t="shared" si="142"/>
        <v>fuel_consumption = 0.2</v>
      </c>
      <c r="BY40" s="3" t="str">
        <f t="shared" si="143"/>
        <v>max_strength = 100</v>
      </c>
      <c r="BZ40" s="3" t="str">
        <f t="shared" si="144"/>
        <v>maximum_speed = 22.95</v>
      </c>
      <c r="CA40" s="3" t="str">
        <f t="shared" si="145"/>
        <v>officers = 42</v>
      </c>
      <c r="CB40" s="3" t="str">
        <f t="shared" si="146"/>
        <v>on_completion = destroyer_practical</v>
      </c>
      <c r="CC40" s="3" t="str">
        <f t="shared" si="147"/>
        <v>priority = 5</v>
      </c>
      <c r="CD40" s="3" t="str">
        <f t="shared" si="148"/>
        <v>radio_strength = 1</v>
      </c>
      <c r="CE40" s="3" t="str">
        <f t="shared" si="149"/>
        <v>repair_cost_multiplier = 0.05</v>
      </c>
      <c r="CF40" s="3" t="str">
        <f t="shared" si="150"/>
        <v>sprite = Destroyer</v>
      </c>
      <c r="CG40" s="3" t="str">
        <f t="shared" si="151"/>
        <v>supply_consumption = 0.1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0.1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</v>
      </c>
      <c r="CO40" s="3" t="str">
        <f t="shared" si="159"/>
        <v>range = 575</v>
      </c>
      <c r="CP40" s="3" t="str">
        <f t="shared" si="160"/>
        <v>distance = 0.06</v>
      </c>
      <c r="CQ40" s="3" t="str">
        <f t="shared" si="161"/>
        <v>surface_detection = 3</v>
      </c>
      <c r="CR40" s="3" t="str">
        <f t="shared" si="162"/>
        <v>air_detection = 2</v>
      </c>
      <c r="CS40" s="3" t="str">
        <f t="shared" si="163"/>
        <v>sub_detection = 3</v>
      </c>
      <c r="CT40" s="3" t="str">
        <f t="shared" si="164"/>
        <v>visibility = 50</v>
      </c>
      <c r="CU40" s="3" t="str">
        <f t="shared" si="165"/>
        <v>sea_defence = 14.75</v>
      </c>
      <c r="CV40" s="3" t="str">
        <f t="shared" si="166"/>
        <v>convoy_attack = 2</v>
      </c>
      <c r="CW40" s="3" t="str">
        <f t="shared" si="167"/>
        <v>sea_attack = 0.1</v>
      </c>
      <c r="CX40" s="3" t="str">
        <f t="shared" si="168"/>
        <v>sub_attack = 3</v>
      </c>
      <c r="CY40" s="3" t="str">
        <f t="shared" si="169"/>
        <v>shore_bombardment = 0</v>
      </c>
      <c r="CZ40" s="3" t="str">
        <f t="shared" si="170"/>
        <v/>
      </c>
      <c r="DA40" s="3" t="str">
        <f t="shared" si="171"/>
        <v/>
      </c>
      <c r="DB40" s="3" t="str">
        <f t="shared" si="172"/>
        <v/>
      </c>
      <c r="DC40" s="3" t="str">
        <f t="shared" si="173"/>
        <v/>
      </c>
      <c r="DD40" s="3" t="s">
        <v>0</v>
      </c>
      <c r="DZ40" s="3" t="str">
        <f t="shared" si="174"/>
        <v xml:space="preserve">destroyer = {
active = no
air_attack = 0
air_defence = 1.5
build_cost_ic = 2.45
build_cost_manpower = 0.42
build_time = 190
completion_size = 0.4
default_morale = 0.3
default_organisation = 30
fuel_consumption = 0.2
max_strength = 100
maximum_speed = 22.95
officers = 42
on_completion = destroyer_practical
priority = 5
radio_strength = 1
repair_cost_multiplier = 0.05
sprite = Destroyer
supply_consumption = 0.1
type = naval
hull = 0.1
transport_capability = 0
range = 575
distance = 0.06
surface_detection = 3
air_detection = 2
sub_detection = 3
visibility = 50
sea_defence = 14.75
convoy_attack = 2
sea_attack = 0.1
sub_attack = 3
shore_bombardment = 0
}
</v>
      </c>
    </row>
    <row r="41" spans="1:130" s="3" customFormat="1" x14ac:dyDescent="0.25">
      <c r="A41" s="2" t="str">
        <f t="shared" ca="1" si="131"/>
        <v>C:\Program Files (x86)\Paradox Interactive\Hearts of Iron III\tfh\mod\ww1tfh\units\escort_carrier.txt</v>
      </c>
      <c r="B41" s="3" t="s">
        <v>293</v>
      </c>
      <c r="C41" s="5" t="s">
        <v>90</v>
      </c>
      <c r="D41" s="6">
        <v>0</v>
      </c>
      <c r="E41" s="6">
        <v>0.75</v>
      </c>
      <c r="F41" s="5">
        <v>4.9000000000000004</v>
      </c>
      <c r="G41" s="5">
        <v>0.3</v>
      </c>
      <c r="H41" s="5">
        <v>250</v>
      </c>
      <c r="I41" s="5">
        <v>1</v>
      </c>
      <c r="J41" s="5">
        <v>0.3</v>
      </c>
      <c r="K41" s="5">
        <v>30</v>
      </c>
      <c r="L41" s="6">
        <v>0.35</v>
      </c>
      <c r="M41" s="5">
        <v>100</v>
      </c>
      <c r="N41" s="6">
        <v>18</v>
      </c>
      <c r="O41" s="5">
        <v>30</v>
      </c>
      <c r="P41" s="5" t="s">
        <v>318</v>
      </c>
      <c r="Q41" s="5">
        <v>9</v>
      </c>
      <c r="R41" s="5">
        <v>1.1000000000000001</v>
      </c>
      <c r="S41" s="5">
        <v>0.05</v>
      </c>
      <c r="T41" s="5" t="s">
        <v>319</v>
      </c>
      <c r="U41" s="5">
        <v>0.25</v>
      </c>
      <c r="V41" s="5" t="s">
        <v>314</v>
      </c>
      <c r="W41" s="5" t="s">
        <v>62</v>
      </c>
      <c r="X41" s="6">
        <v>0.3</v>
      </c>
      <c r="Y41" s="5" t="s">
        <v>62</v>
      </c>
      <c r="Z41" s="5" t="s">
        <v>62</v>
      </c>
      <c r="AA41" s="5" t="s">
        <v>62</v>
      </c>
      <c r="AB41" s="5">
        <v>0</v>
      </c>
      <c r="AC41" s="5">
        <v>950</v>
      </c>
      <c r="AD41" s="5">
        <v>1</v>
      </c>
      <c r="AE41" s="5">
        <v>1</v>
      </c>
      <c r="AF41" s="5">
        <v>2</v>
      </c>
      <c r="AG41" s="6">
        <v>0</v>
      </c>
      <c r="AH41" s="5">
        <v>80</v>
      </c>
      <c r="AI41" s="5">
        <v>5.5</v>
      </c>
      <c r="AJ41" s="13">
        <v>0</v>
      </c>
      <c r="AK41" s="11">
        <v>0</v>
      </c>
      <c r="AL41" s="5">
        <v>0</v>
      </c>
      <c r="AM41" s="5">
        <v>0</v>
      </c>
      <c r="AN41" s="5" t="s">
        <v>159</v>
      </c>
      <c r="AO41" s="5" t="s">
        <v>62</v>
      </c>
      <c r="AP41" s="5">
        <v>1</v>
      </c>
      <c r="AQ41" s="5" t="s">
        <v>62</v>
      </c>
      <c r="BN41" s="3" t="str">
        <f t="shared" si="132"/>
        <v>escort_carrier = {</v>
      </c>
      <c r="BO41" s="3" t="str">
        <f t="shared" si="133"/>
        <v>active = no</v>
      </c>
      <c r="BP41" s="3" t="str">
        <f t="shared" si="134"/>
        <v>air_attack = 0</v>
      </c>
      <c r="BQ41" s="3" t="str">
        <f t="shared" si="135"/>
        <v>air_defence = 0.75</v>
      </c>
      <c r="BR41" s="3" t="str">
        <f t="shared" si="136"/>
        <v>build_cost_ic = 4.9</v>
      </c>
      <c r="BS41" s="3" t="str">
        <f t="shared" si="137"/>
        <v>build_cost_manpower = 0.3</v>
      </c>
      <c r="BT41" s="3" t="str">
        <f t="shared" si="138"/>
        <v>build_time = 250</v>
      </c>
      <c r="BU41" s="3" t="str">
        <f t="shared" si="139"/>
        <v>completion_size = 1</v>
      </c>
      <c r="BV41" s="3" t="str">
        <f t="shared" si="140"/>
        <v>default_morale = 0.3</v>
      </c>
      <c r="BW41" s="3" t="str">
        <f t="shared" si="141"/>
        <v>default_organisation = 30</v>
      </c>
      <c r="BX41" s="3" t="str">
        <f t="shared" si="142"/>
        <v>fuel_consumption = 0.35</v>
      </c>
      <c r="BY41" s="3" t="str">
        <f t="shared" si="143"/>
        <v>max_strength = 100</v>
      </c>
      <c r="BZ41" s="3" t="str">
        <f t="shared" si="144"/>
        <v>maximum_speed = 18</v>
      </c>
      <c r="CA41" s="3" t="str">
        <f t="shared" si="145"/>
        <v>officers = 30</v>
      </c>
      <c r="CB41" s="3" t="str">
        <f t="shared" si="146"/>
        <v>on_completion = carrier_practical</v>
      </c>
      <c r="CC41" s="3" t="str">
        <f t="shared" si="147"/>
        <v>priority = 9</v>
      </c>
      <c r="CD41" s="3" t="str">
        <f t="shared" si="148"/>
        <v>radio_strength = 1.1</v>
      </c>
      <c r="CE41" s="3" t="str">
        <f t="shared" si="149"/>
        <v>repair_cost_multiplier = 0.05</v>
      </c>
      <c r="CF41" s="3" t="str">
        <f t="shared" si="150"/>
        <v>sprite = Carrier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0.3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</v>
      </c>
      <c r="CO41" s="3" t="str">
        <f t="shared" si="159"/>
        <v>range = 950</v>
      </c>
      <c r="CP41" s="3" t="str">
        <f t="shared" si="160"/>
        <v>distance = 1</v>
      </c>
      <c r="CQ41" s="3" t="str">
        <f t="shared" si="161"/>
        <v>surface_detection = 1</v>
      </c>
      <c r="CR41" s="3" t="str">
        <f t="shared" si="162"/>
        <v>air_detection = 2</v>
      </c>
      <c r="CS41" s="3" t="str">
        <f t="shared" si="163"/>
        <v>sub_detection = 0</v>
      </c>
      <c r="CT41" s="3" t="str">
        <f t="shared" si="164"/>
        <v>visibility = 80</v>
      </c>
      <c r="CU41" s="3" t="str">
        <f t="shared" si="165"/>
        <v>sea_defence = 5.5</v>
      </c>
      <c r="CV41" s="3" t="str">
        <f t="shared" si="166"/>
        <v>convoy_attack = 0</v>
      </c>
      <c r="CW41" s="3" t="str">
        <f t="shared" si="167"/>
        <v>sea_attack = 0</v>
      </c>
      <c r="CX41" s="3" t="str">
        <f t="shared" si="168"/>
        <v>sub_attack = 0</v>
      </c>
      <c r="CY41" s="3" t="str">
        <f t="shared" si="169"/>
        <v>shore_bombardment = 0</v>
      </c>
      <c r="CZ41" s="3" t="str">
        <f t="shared" si="170"/>
        <v>capital = yes</v>
      </c>
      <c r="DA41" s="3" t="str">
        <f t="shared" si="171"/>
        <v/>
      </c>
      <c r="DB41" s="3" t="str">
        <f t="shared" si="172"/>
        <v>carrier_size = 1</v>
      </c>
      <c r="DC41" s="3" t="str">
        <f t="shared" si="173"/>
        <v/>
      </c>
      <c r="DD41" s="3" t="s">
        <v>0</v>
      </c>
      <c r="DZ41" s="3" t="str">
        <f t="shared" si="174"/>
        <v xml:space="preserve">escort_carrier = {
active = no
air_attack = 0
air_defence = 0.75
build_cost_ic = 4.9
build_cost_manpower = 0.3
build_time = 250
completion_size = 1
default_morale = 0.3
default_organisation = 30
fuel_consumption = 0.35
max_strength = 100
maximum_speed = 18
officers = 30
on_completion = carrier_practical
priority = 9
radio_strength = 1.1
repair_cost_multiplier = 0.05
sprite = Carrier
supply_consumption = 0.25
type = naval
hull = 0.3
transport_capability = 0
range = 950
distance = 1
surface_detection = 1
air_detection = 2
sub_detection = 0
visibility = 80
sea_defence = 5.5
convoy_attack = 0
sea_attack = 0
sub_attack = 0
shore_bombardment = 0
capital = yes
carrier_size = 1
}
</v>
      </c>
    </row>
    <row r="42" spans="1:130" s="3" customFormat="1" x14ac:dyDescent="0.25">
      <c r="A42" s="2" t="str">
        <f t="shared" ca="1" si="131"/>
        <v>C:\Program Files (x86)\Paradox Interactive\Hearts of Iron III\tfh\mod\ww1tfh\units\heavy_cruiser.txt</v>
      </c>
      <c r="B42" s="3" t="s">
        <v>294</v>
      </c>
      <c r="C42" s="5" t="s">
        <v>90</v>
      </c>
      <c r="D42" s="6">
        <v>0</v>
      </c>
      <c r="E42" s="6">
        <v>2</v>
      </c>
      <c r="F42" s="5">
        <v>5.15</v>
      </c>
      <c r="G42" s="5">
        <v>0.52</v>
      </c>
      <c r="H42" s="5">
        <v>350</v>
      </c>
      <c r="I42" s="5">
        <v>1.5</v>
      </c>
      <c r="J42" s="5">
        <v>0.3</v>
      </c>
      <c r="K42" s="5">
        <v>30</v>
      </c>
      <c r="L42" s="6">
        <v>0.55000000000000004</v>
      </c>
      <c r="M42" s="5">
        <v>100</v>
      </c>
      <c r="N42" s="6">
        <v>18.25</v>
      </c>
      <c r="O42" s="5">
        <v>52</v>
      </c>
      <c r="P42" s="5" t="s">
        <v>322</v>
      </c>
      <c r="Q42" s="5">
        <v>8</v>
      </c>
      <c r="R42" s="5">
        <v>1</v>
      </c>
      <c r="S42" s="5">
        <v>0.05</v>
      </c>
      <c r="T42" s="5" t="s">
        <v>323</v>
      </c>
      <c r="U42" s="5">
        <v>0.35</v>
      </c>
      <c r="V42" s="5" t="s">
        <v>314</v>
      </c>
      <c r="W42" s="5" t="s">
        <v>62</v>
      </c>
      <c r="X42" s="6">
        <v>0.45</v>
      </c>
      <c r="Y42" s="5" t="s">
        <v>62</v>
      </c>
      <c r="Z42" s="5" t="s">
        <v>62</v>
      </c>
      <c r="AA42" s="5" t="s">
        <v>62</v>
      </c>
      <c r="AB42" s="5">
        <v>0</v>
      </c>
      <c r="AC42" s="5">
        <v>3600</v>
      </c>
      <c r="AD42" s="5">
        <v>0.17</v>
      </c>
      <c r="AE42" s="5">
        <v>1</v>
      </c>
      <c r="AF42" s="5">
        <v>1</v>
      </c>
      <c r="AG42" s="6">
        <v>1</v>
      </c>
      <c r="AH42" s="5">
        <v>70</v>
      </c>
      <c r="AI42" s="5">
        <v>4.25</v>
      </c>
      <c r="AJ42" s="13">
        <v>6</v>
      </c>
      <c r="AK42" s="11">
        <v>2.15</v>
      </c>
      <c r="AL42" s="5">
        <v>1</v>
      </c>
      <c r="AM42" s="5">
        <v>5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32"/>
        <v>heavy_cruiser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2</v>
      </c>
      <c r="BR42" s="3" t="str">
        <f t="shared" si="136"/>
        <v>build_cost_ic = 5.15</v>
      </c>
      <c r="BS42" s="3" t="str">
        <f t="shared" si="137"/>
        <v>build_cost_manpower = 0.52</v>
      </c>
      <c r="BT42" s="3" t="str">
        <f t="shared" si="138"/>
        <v>build_time = 350</v>
      </c>
      <c r="BU42" s="3" t="str">
        <f t="shared" si="139"/>
        <v>completion_size = 1.5</v>
      </c>
      <c r="BV42" s="3" t="str">
        <f t="shared" si="140"/>
        <v>default_morale = 0.3</v>
      </c>
      <c r="BW42" s="3" t="str">
        <f t="shared" si="141"/>
        <v>default_organisation = 30</v>
      </c>
      <c r="BX42" s="3" t="str">
        <f t="shared" si="142"/>
        <v>fuel_consumption = 0.55</v>
      </c>
      <c r="BY42" s="3" t="str">
        <f t="shared" si="143"/>
        <v>max_strength = 100</v>
      </c>
      <c r="BZ42" s="3" t="str">
        <f t="shared" si="144"/>
        <v>maximum_speed = 18.25</v>
      </c>
      <c r="CA42" s="3" t="str">
        <f t="shared" si="145"/>
        <v>officers = 52</v>
      </c>
      <c r="CB42" s="3" t="str">
        <f t="shared" si="146"/>
        <v>on_completion = cruiser_practical</v>
      </c>
      <c r="CC42" s="3" t="str">
        <f t="shared" si="147"/>
        <v>priority = 8</v>
      </c>
      <c r="CD42" s="3" t="str">
        <f t="shared" si="148"/>
        <v>radio_strength = 1</v>
      </c>
      <c r="CE42" s="3" t="str">
        <f t="shared" si="149"/>
        <v>repair_cost_multiplier = 0.05</v>
      </c>
      <c r="CF42" s="3" t="str">
        <f t="shared" si="150"/>
        <v>sprite = HeavyCruiser</v>
      </c>
      <c r="CG42" s="3" t="str">
        <f t="shared" si="151"/>
        <v>supply_consumption = 0.35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0.45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</v>
      </c>
      <c r="CO42" s="3" t="str">
        <f t="shared" si="159"/>
        <v>range = 3600</v>
      </c>
      <c r="CP42" s="3" t="str">
        <f t="shared" si="160"/>
        <v>distance = 0.17</v>
      </c>
      <c r="CQ42" s="3" t="str">
        <f t="shared" si="161"/>
        <v>surface_detection = 1</v>
      </c>
      <c r="CR42" s="3" t="str">
        <f t="shared" si="162"/>
        <v>air_detection = 1</v>
      </c>
      <c r="CS42" s="3" t="str">
        <f t="shared" si="163"/>
        <v>sub_detection = 1</v>
      </c>
      <c r="CT42" s="3" t="str">
        <f t="shared" si="164"/>
        <v>visibility = 70</v>
      </c>
      <c r="CU42" s="3" t="str">
        <f t="shared" si="165"/>
        <v>sea_defence = 4.25</v>
      </c>
      <c r="CV42" s="3" t="str">
        <f t="shared" si="166"/>
        <v>convoy_attack = 6</v>
      </c>
      <c r="CW42" s="3" t="str">
        <f t="shared" si="167"/>
        <v>sea_attack = 2.15</v>
      </c>
      <c r="CX42" s="3" t="str">
        <f t="shared" si="168"/>
        <v>sub_attack = 1</v>
      </c>
      <c r="CY42" s="3" t="str">
        <f t="shared" si="169"/>
        <v>shore_bombardment = 5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/>
      </c>
      <c r="DC42" s="3" t="str">
        <f t="shared" si="173"/>
        <v/>
      </c>
      <c r="DD42" s="3" t="s">
        <v>0</v>
      </c>
      <c r="DZ42" s="3" t="str">
        <f t="shared" si="174"/>
        <v xml:space="preserve">heavy_cruiser = {
active = no
air_attack = 0
air_defence = 2
build_cost_ic = 5.15
build_cost_manpower = 0.52
build_time = 350
completion_size = 1.5
default_morale = 0.3
default_organisation = 30
fuel_consumption = 0.55
max_strength = 100
maximum_speed = 18.25
officers = 52
on_completion = cruiser_practical
priority = 8
radio_strength = 1
repair_cost_multiplier = 0.05
sprite = HeavyCruiser
supply_consumption = 0.35
type = naval
hull = 0.45
transport_capability = 0
range = 3600
distance = 0.17
surface_detection = 1
air_detection = 1
sub_detection = 1
visibility = 70
sea_defence = 4.25
convoy_attack = 6
sea_attack = 2.15
sub_attack = 1
shore_bombardment = 5
capital = yes
}
</v>
      </c>
    </row>
    <row r="43" spans="1:130" s="3" customFormat="1" x14ac:dyDescent="0.25">
      <c r="A43" s="2" t="str">
        <f t="shared" ca="1" si="131"/>
        <v>C:\Program Files (x86)\Paradox Interactive\Hearts of Iron III\tfh\mod\ww1tfh\units\invasion_transport_ship.txt</v>
      </c>
      <c r="B43" s="3" t="s">
        <v>295</v>
      </c>
      <c r="C43" s="5" t="s">
        <v>90</v>
      </c>
      <c r="D43" s="6">
        <v>0</v>
      </c>
      <c r="E43" s="6">
        <v>0.5</v>
      </c>
      <c r="F43" s="5">
        <v>6</v>
      </c>
      <c r="G43" s="5">
        <v>1.25</v>
      </c>
      <c r="H43" s="5">
        <v>110</v>
      </c>
      <c r="I43" s="5">
        <v>0.6</v>
      </c>
      <c r="J43" s="5">
        <v>0.25</v>
      </c>
      <c r="K43" s="5">
        <v>22</v>
      </c>
      <c r="L43" s="6">
        <v>0.6</v>
      </c>
      <c r="M43" s="5">
        <v>100</v>
      </c>
      <c r="N43" s="6">
        <v>14.4</v>
      </c>
      <c r="O43" s="5">
        <v>0</v>
      </c>
      <c r="P43" s="5" t="s">
        <v>313</v>
      </c>
      <c r="Q43" s="5">
        <v>1</v>
      </c>
      <c r="R43" s="5">
        <v>1</v>
      </c>
      <c r="S43" s="5">
        <v>0.05</v>
      </c>
      <c r="T43" s="5" t="s">
        <v>324</v>
      </c>
      <c r="U43" s="5">
        <v>0.5</v>
      </c>
      <c r="V43" s="5" t="s">
        <v>314</v>
      </c>
      <c r="W43" s="5" t="s">
        <v>159</v>
      </c>
      <c r="X43" s="6">
        <v>0.6</v>
      </c>
      <c r="Y43" s="5">
        <v>0.25</v>
      </c>
      <c r="Z43" s="5">
        <v>0.1</v>
      </c>
      <c r="AA43" s="5" t="s">
        <v>62</v>
      </c>
      <c r="AB43" s="5">
        <v>60</v>
      </c>
      <c r="AC43" s="5">
        <v>3500</v>
      </c>
      <c r="AD43" s="5">
        <v>0.1</v>
      </c>
      <c r="AE43" s="5">
        <v>0</v>
      </c>
      <c r="AF43" s="5">
        <v>0</v>
      </c>
      <c r="AG43" s="6">
        <v>0</v>
      </c>
      <c r="AH43" s="5">
        <v>80</v>
      </c>
      <c r="AI43" s="5">
        <v>1</v>
      </c>
      <c r="AJ43" s="13">
        <v>0</v>
      </c>
      <c r="AK43" s="11">
        <v>0</v>
      </c>
      <c r="AL43" s="5">
        <v>0</v>
      </c>
      <c r="AM43" s="5">
        <v>0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32"/>
        <v>invasion_transport_ship = {</v>
      </c>
      <c r="BO43" s="3" t="str">
        <f t="shared" si="133"/>
        <v>active = no</v>
      </c>
      <c r="BP43" s="3" t="str">
        <f t="shared" si="134"/>
        <v>air_attack = 0</v>
      </c>
      <c r="BQ43" s="3" t="str">
        <f t="shared" si="135"/>
        <v>air_defence = 0.5</v>
      </c>
      <c r="BR43" s="3" t="str">
        <f t="shared" si="136"/>
        <v>build_cost_ic = 6</v>
      </c>
      <c r="BS43" s="3" t="str">
        <f t="shared" si="137"/>
        <v>build_cost_manpower = 1.25</v>
      </c>
      <c r="BT43" s="3" t="str">
        <f t="shared" si="138"/>
        <v>build_time = 110</v>
      </c>
      <c r="BU43" s="3" t="str">
        <f t="shared" si="139"/>
        <v>completion_size = 0.6</v>
      </c>
      <c r="BV43" s="3" t="str">
        <f t="shared" si="140"/>
        <v>default_morale = 0.25</v>
      </c>
      <c r="BW43" s="3" t="str">
        <f t="shared" si="141"/>
        <v>default_organisation = 22</v>
      </c>
      <c r="BX43" s="3" t="str">
        <f t="shared" si="142"/>
        <v>fuel_consumption = 0.6</v>
      </c>
      <c r="BY43" s="3" t="str">
        <f t="shared" si="143"/>
        <v>max_strength = 100</v>
      </c>
      <c r="BZ43" s="3" t="str">
        <f t="shared" si="144"/>
        <v>maximum_speed = 14.4</v>
      </c>
      <c r="CA43" s="3" t="str">
        <f t="shared" si="145"/>
        <v>officers = 0</v>
      </c>
      <c r="CB43" s="3" t="str">
        <f t="shared" si="146"/>
        <v>on_completion = transport_practical</v>
      </c>
      <c r="CC43" s="3" t="str">
        <f t="shared" si="147"/>
        <v>priority = 1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LCTLandingcraft</v>
      </c>
      <c r="CG43" s="3" t="str">
        <f t="shared" si="151"/>
        <v>supply_consumption = 0.5</v>
      </c>
      <c r="CH43" s="3" t="str">
        <f t="shared" si="152"/>
        <v>type = naval</v>
      </c>
      <c r="CI43" s="3" t="str">
        <f t="shared" si="153"/>
        <v>transport = yes</v>
      </c>
      <c r="CJ43" s="3" t="str">
        <f t="shared" si="154"/>
        <v>hull = 0.6</v>
      </c>
      <c r="CK43" s="3" t="str">
        <f t="shared" si="155"/>
        <v>amphibious_invasion_speed = 0.25</v>
      </c>
      <c r="CL43" s="3" t="str">
        <f t="shared" si="156"/>
        <v>amphibious_invasion_defence = 0.1</v>
      </c>
      <c r="CM43" s="3" t="str">
        <f t="shared" si="157"/>
        <v/>
      </c>
      <c r="CN43" s="3" t="str">
        <f t="shared" si="158"/>
        <v>transport_capability = 60</v>
      </c>
      <c r="CO43" s="3" t="str">
        <f t="shared" si="159"/>
        <v>range = 3500</v>
      </c>
      <c r="CP43" s="3" t="str">
        <f t="shared" si="160"/>
        <v>distance = 0.1</v>
      </c>
      <c r="CQ43" s="3" t="str">
        <f t="shared" si="161"/>
        <v>surface_detection = 0</v>
      </c>
      <c r="CR43" s="3" t="str">
        <f t="shared" si="162"/>
        <v>air_detection = 0</v>
      </c>
      <c r="CS43" s="3" t="str">
        <f t="shared" si="163"/>
        <v>sub_detection = 0</v>
      </c>
      <c r="CT43" s="3" t="str">
        <f t="shared" si="164"/>
        <v>visibility = 80</v>
      </c>
      <c r="CU43" s="3" t="str">
        <f t="shared" si="165"/>
        <v>sea_defence = 1</v>
      </c>
      <c r="CV43" s="3" t="str">
        <f t="shared" si="166"/>
        <v>convoy_attack = 0</v>
      </c>
      <c r="CW43" s="3" t="str">
        <f t="shared" si="167"/>
        <v>sea_attack = 0</v>
      </c>
      <c r="CX43" s="3" t="str">
        <f t="shared" si="168"/>
        <v>sub_attack = 0</v>
      </c>
      <c r="CY43" s="3" t="str">
        <f t="shared" si="169"/>
        <v>shore_bombardment = 0</v>
      </c>
      <c r="CZ43" s="3" t="str">
        <f t="shared" si="170"/>
        <v/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invasion_transport_ship = {
active = no
air_attack = 0
air_defence = 0.5
build_cost_ic = 6
build_cost_manpower = 1.25
build_time = 110
completion_size = 0.6
default_morale = 0.25
default_organisation = 22
fuel_consumption = 0.6
max_strength = 100
maximum_speed = 14.4
officers = 0
on_completion = transport_practical
priority = 1
radio_strength = 1
repair_cost_multiplier = 0.05
sprite = LCTLandingcraft
supply_consumption = 0.5
type = naval
transport = yes
hull = 0.6
amphibious_invasion_speed = 0.25
amphibious_invasion_defence = 0.1
transport_capability = 60
range = 3500
distance = 0.1
surface_detection = 0
air_detection = 0
sub_detection = 0
visibility = 80
sea_defence = 1
convoy_attack = 0
sea_attack = 0
sub_attack = 0
shore_bombardment = 0
}
</v>
      </c>
    </row>
    <row r="44" spans="1:130" s="3" customFormat="1" x14ac:dyDescent="0.25">
      <c r="A44" s="2" t="str">
        <f t="shared" ca="1" si="131"/>
        <v>C:\Program Files (x86)\Paradox Interactive\Hearts of Iron III\tfh\mod\ww1tfh\units\light_cruiser.txt</v>
      </c>
      <c r="B44" s="3" t="s">
        <v>296</v>
      </c>
      <c r="C44" s="5" t="s">
        <v>90</v>
      </c>
      <c r="D44" s="6">
        <v>0</v>
      </c>
      <c r="E44" s="6">
        <v>2.5</v>
      </c>
      <c r="F44" s="5">
        <v>3.15</v>
      </c>
      <c r="G44" s="5">
        <v>0.32</v>
      </c>
      <c r="H44" s="5">
        <v>350</v>
      </c>
      <c r="I44" s="5">
        <v>0.9</v>
      </c>
      <c r="J44" s="5">
        <v>0.3</v>
      </c>
      <c r="K44" s="5">
        <v>30</v>
      </c>
      <c r="L44" s="6">
        <v>0.4</v>
      </c>
      <c r="M44" s="5">
        <v>100</v>
      </c>
      <c r="N44" s="6">
        <v>22.45</v>
      </c>
      <c r="O44" s="5">
        <v>32</v>
      </c>
      <c r="P44" s="5" t="s">
        <v>322</v>
      </c>
      <c r="Q44" s="5">
        <v>7</v>
      </c>
      <c r="R44" s="5">
        <v>1</v>
      </c>
      <c r="S44" s="5">
        <v>0.05</v>
      </c>
      <c r="T44" s="5" t="s">
        <v>325</v>
      </c>
      <c r="U44" s="5">
        <v>0.2</v>
      </c>
      <c r="V44" s="5" t="s">
        <v>314</v>
      </c>
      <c r="W44" s="5" t="s">
        <v>62</v>
      </c>
      <c r="X44" s="6">
        <v>0.25</v>
      </c>
      <c r="Y44" s="5" t="s">
        <v>62</v>
      </c>
      <c r="Z44" s="5" t="s">
        <v>62</v>
      </c>
      <c r="AA44" s="5" t="s">
        <v>62</v>
      </c>
      <c r="AB44" s="5">
        <v>0</v>
      </c>
      <c r="AC44" s="5">
        <v>2775</v>
      </c>
      <c r="AD44" s="5">
        <v>0.13</v>
      </c>
      <c r="AE44" s="5">
        <v>2</v>
      </c>
      <c r="AF44" s="5">
        <v>2</v>
      </c>
      <c r="AG44" s="6">
        <v>2</v>
      </c>
      <c r="AH44" s="5">
        <v>60</v>
      </c>
      <c r="AI44" s="5">
        <v>7.5</v>
      </c>
      <c r="AJ44" s="13">
        <v>3</v>
      </c>
      <c r="AK44" s="11">
        <v>1.6</v>
      </c>
      <c r="AL44" s="6">
        <v>1</v>
      </c>
      <c r="AM44" s="5">
        <v>1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light_cruiser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2.5</v>
      </c>
      <c r="BR44" s="3" t="str">
        <f t="shared" si="136"/>
        <v>build_cost_ic = 3.15</v>
      </c>
      <c r="BS44" s="3" t="str">
        <f t="shared" si="137"/>
        <v>build_cost_manpower = 0.32</v>
      </c>
      <c r="BT44" s="3" t="str">
        <f t="shared" si="138"/>
        <v>build_time = 350</v>
      </c>
      <c r="BU44" s="3" t="str">
        <f t="shared" si="139"/>
        <v>completion_size = 0.9</v>
      </c>
      <c r="BV44" s="3" t="str">
        <f t="shared" si="140"/>
        <v>default_morale = 0.3</v>
      </c>
      <c r="BW44" s="3" t="str">
        <f t="shared" si="141"/>
        <v>default_organisation = 30</v>
      </c>
      <c r="BX44" s="3" t="str">
        <f t="shared" si="142"/>
        <v>fuel_consumption = 0.4</v>
      </c>
      <c r="BY44" s="3" t="str">
        <f t="shared" si="143"/>
        <v>max_strength = 100</v>
      </c>
      <c r="BZ44" s="3" t="str">
        <f t="shared" si="144"/>
        <v>maximum_speed = 22.45</v>
      </c>
      <c r="CA44" s="3" t="str">
        <f t="shared" si="145"/>
        <v>officers = 32</v>
      </c>
      <c r="CB44" s="3" t="str">
        <f t="shared" si="146"/>
        <v>on_completion = cruiser_practical</v>
      </c>
      <c r="CC44" s="3" t="str">
        <f t="shared" si="147"/>
        <v>priority = 7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LightCruiser</v>
      </c>
      <c r="CG44" s="3" t="str">
        <f t="shared" si="151"/>
        <v>supply_consumption = 0.2</v>
      </c>
      <c r="CH44" s="3" t="str">
        <f t="shared" si="152"/>
        <v>type = naval</v>
      </c>
      <c r="CI44" s="3" t="str">
        <f t="shared" si="153"/>
        <v/>
      </c>
      <c r="CJ44" s="3" t="str">
        <f t="shared" si="154"/>
        <v>hull = 0.25</v>
      </c>
      <c r="CK44" s="3" t="str">
        <f t="shared" si="155"/>
        <v/>
      </c>
      <c r="CL44" s="3" t="str">
        <f t="shared" si="156"/>
        <v/>
      </c>
      <c r="CM44" s="3" t="str">
        <f t="shared" si="157"/>
        <v/>
      </c>
      <c r="CN44" s="3" t="str">
        <f t="shared" si="158"/>
        <v>transport_capability = 0</v>
      </c>
      <c r="CO44" s="3" t="str">
        <f t="shared" si="159"/>
        <v>range = 2775</v>
      </c>
      <c r="CP44" s="3" t="str">
        <f t="shared" si="160"/>
        <v>distance = 0.13</v>
      </c>
      <c r="CQ44" s="3" t="str">
        <f t="shared" si="161"/>
        <v>surface_detection = 2</v>
      </c>
      <c r="CR44" s="3" t="str">
        <f t="shared" si="162"/>
        <v>air_detection = 2</v>
      </c>
      <c r="CS44" s="3" t="str">
        <f t="shared" si="163"/>
        <v>sub_detection = 2</v>
      </c>
      <c r="CT44" s="3" t="str">
        <f t="shared" si="164"/>
        <v>visibility = 60</v>
      </c>
      <c r="CU44" s="3" t="str">
        <f t="shared" si="165"/>
        <v>sea_defence = 7.5</v>
      </c>
      <c r="CV44" s="3" t="str">
        <f t="shared" si="166"/>
        <v>convoy_attack = 3</v>
      </c>
      <c r="CW44" s="3" t="str">
        <f t="shared" si="167"/>
        <v>sea_attack = 1.6</v>
      </c>
      <c r="CX44" s="3" t="str">
        <f t="shared" si="168"/>
        <v>sub_attack = 1</v>
      </c>
      <c r="CY44" s="3" t="str">
        <f t="shared" si="169"/>
        <v>shore_bombardment = 1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light_cruiser = {
active = no
air_attack = 0
air_defence = 2.5
build_cost_ic = 3.15
build_cost_manpower = 0.32
build_time = 350
completion_size = 0.9
default_morale = 0.3
default_organisation = 30
fuel_consumption = 0.4
max_strength = 100
maximum_speed = 22.45
officers = 32
on_completion = cruiser_practical
priority = 7
radio_strength = 1
repair_cost_multiplier = 0.05
sprite = LightCruiser
supply_consumption = 0.2
type = naval
hull = 0.25
transport_capability = 0
range = 2775
distance = 0.13
surface_detection = 2
air_detection = 2
sub_detection = 2
visibility = 60
sea_defence = 7.5
convoy_attack = 3
sea_attack = 1.6
sub_attack = 1
shore_bombardment = 1
}
</v>
      </c>
    </row>
    <row r="45" spans="1:130" s="3" customFormat="1" x14ac:dyDescent="0.25">
      <c r="A45" s="2" t="str">
        <f t="shared" ca="1" si="131"/>
        <v>C:\Program Files (x86)\Paradox Interactive\Hearts of Iron III\tfh\mod\ww1tfh\units\submarine.txt</v>
      </c>
      <c r="B45" s="3" t="s">
        <v>297</v>
      </c>
      <c r="C45" s="5" t="s">
        <v>90</v>
      </c>
      <c r="D45" s="6">
        <v>0</v>
      </c>
      <c r="E45" s="6">
        <v>0.5</v>
      </c>
      <c r="F45" s="5">
        <v>2.5</v>
      </c>
      <c r="G45" s="5">
        <v>0.14000000000000001</v>
      </c>
      <c r="H45" s="5">
        <v>300</v>
      </c>
      <c r="I45" s="5">
        <v>0.6</v>
      </c>
      <c r="J45" s="5">
        <v>0.35</v>
      </c>
      <c r="K45" s="5">
        <v>25</v>
      </c>
      <c r="L45" s="6">
        <v>0.1</v>
      </c>
      <c r="M45" s="5">
        <v>100</v>
      </c>
      <c r="N45" s="6">
        <v>11.9</v>
      </c>
      <c r="O45" s="5">
        <v>14</v>
      </c>
      <c r="P45" s="5" t="s">
        <v>326</v>
      </c>
      <c r="Q45" s="5">
        <v>3</v>
      </c>
      <c r="R45" s="5">
        <v>1</v>
      </c>
      <c r="S45" s="5">
        <v>0.05</v>
      </c>
      <c r="T45" s="5" t="s">
        <v>327</v>
      </c>
      <c r="U45" s="5">
        <v>0.2</v>
      </c>
      <c r="V45" s="5" t="s">
        <v>314</v>
      </c>
      <c r="W45" s="5" t="s">
        <v>62</v>
      </c>
      <c r="X45" s="6">
        <v>0.1</v>
      </c>
      <c r="Y45" s="5" t="s">
        <v>62</v>
      </c>
      <c r="Z45" s="5" t="s">
        <v>62</v>
      </c>
      <c r="AA45" s="5" t="s">
        <v>62</v>
      </c>
      <c r="AB45" s="5">
        <v>0</v>
      </c>
      <c r="AC45" s="5">
        <v>0</v>
      </c>
      <c r="AD45" s="2">
        <v>0.04</v>
      </c>
      <c r="AE45" s="5">
        <v>2</v>
      </c>
      <c r="AF45" s="5">
        <v>1</v>
      </c>
      <c r="AG45" s="6">
        <v>0</v>
      </c>
      <c r="AH45" s="6">
        <v>7</v>
      </c>
      <c r="AI45" s="5">
        <v>7.5</v>
      </c>
      <c r="AJ45" s="13">
        <v>1</v>
      </c>
      <c r="AK45" s="11">
        <v>0.5</v>
      </c>
      <c r="AL45" s="5">
        <v>0</v>
      </c>
      <c r="AM45" s="5">
        <v>0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32"/>
        <v>submarine = {</v>
      </c>
      <c r="BO45" s="3" t="str">
        <f t="shared" si="133"/>
        <v>active = no</v>
      </c>
      <c r="BP45" s="3" t="str">
        <f t="shared" si="134"/>
        <v>air_attack = 0</v>
      </c>
      <c r="BQ45" s="3" t="str">
        <f t="shared" si="135"/>
        <v>air_defence = 0.5</v>
      </c>
      <c r="BR45" s="3" t="str">
        <f t="shared" si="136"/>
        <v>build_cost_ic = 2.5</v>
      </c>
      <c r="BS45" s="3" t="str">
        <f t="shared" si="137"/>
        <v>build_cost_manpower = 0.14</v>
      </c>
      <c r="BT45" s="3" t="str">
        <f t="shared" si="138"/>
        <v>build_time = 300</v>
      </c>
      <c r="BU45" s="3" t="str">
        <f t="shared" si="139"/>
        <v>completion_size = 0.6</v>
      </c>
      <c r="BV45" s="3" t="str">
        <f t="shared" si="140"/>
        <v>default_morale = 0.35</v>
      </c>
      <c r="BW45" s="3" t="str">
        <f t="shared" si="141"/>
        <v>default_organisation = 25</v>
      </c>
      <c r="BX45" s="3" t="str">
        <f t="shared" si="142"/>
        <v>fuel_consumption = 0.1</v>
      </c>
      <c r="BY45" s="3" t="str">
        <f t="shared" si="143"/>
        <v>max_strength = 100</v>
      </c>
      <c r="BZ45" s="3" t="str">
        <f t="shared" si="144"/>
        <v>maximum_speed = 11.9</v>
      </c>
      <c r="CA45" s="3" t="str">
        <f t="shared" si="145"/>
        <v>officers = 14</v>
      </c>
      <c r="CB45" s="3" t="str">
        <f t="shared" si="146"/>
        <v>on_completion = submarine_practical</v>
      </c>
      <c r="CC45" s="3" t="str">
        <f t="shared" si="147"/>
        <v>priority = 3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Submarine</v>
      </c>
      <c r="CG45" s="3" t="str">
        <f t="shared" si="151"/>
        <v>supply_consumption = 0.2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0.1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</v>
      </c>
      <c r="CO45" s="3" t="str">
        <f t="shared" si="159"/>
        <v>range = 0</v>
      </c>
      <c r="CP45" s="3" t="str">
        <f t="shared" si="160"/>
        <v>distance = 0.04</v>
      </c>
      <c r="CQ45" s="3" t="str">
        <f t="shared" si="161"/>
        <v>surface_detection = 2</v>
      </c>
      <c r="CR45" s="3" t="str">
        <f t="shared" si="162"/>
        <v>air_detection = 1</v>
      </c>
      <c r="CS45" s="3" t="str">
        <f t="shared" si="163"/>
        <v>sub_detection = 0</v>
      </c>
      <c r="CT45" s="3" t="str">
        <f t="shared" si="164"/>
        <v>visibility = 7</v>
      </c>
      <c r="CU45" s="3" t="str">
        <f t="shared" si="165"/>
        <v>sea_defence = 7.5</v>
      </c>
      <c r="CV45" s="3" t="str">
        <f t="shared" si="166"/>
        <v>convoy_attack = 1</v>
      </c>
      <c r="CW45" s="3" t="str">
        <f t="shared" si="167"/>
        <v>sea_attack = 0.5</v>
      </c>
      <c r="CX45" s="3" t="str">
        <f t="shared" si="168"/>
        <v>sub_attack = 0</v>
      </c>
      <c r="CY45" s="3" t="str">
        <f t="shared" si="169"/>
        <v>shore_bombardment = 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>is_sub = yes</v>
      </c>
      <c r="DD45" s="3" t="s">
        <v>0</v>
      </c>
      <c r="DZ45" s="3" t="str">
        <f t="shared" si="174"/>
        <v xml:space="preserve">submarine = {
active = no
air_attack = 0
air_defence = 0.5
build_cost_ic = 2.5
build_cost_manpower = 0.14
build_time = 300
completion_size = 0.6
default_morale = 0.35
default_organisation = 25
fuel_consumption = 0.1
max_strength = 100
maximum_speed = 11.9
officers = 14
on_completion = submarine_practical
priority = 3
radio_strength = 1
repair_cost_multiplier = 0.05
sprite = Submarine
supply_consumption = 0.2
type = naval
hull = 0.1
transport_capability = 0
range = 0
distance = 0.04
surface_detection = 2
air_detection = 1
sub_detection = 0
visibility = 7
sea_defence = 7.5
convoy_attack = 1
sea_attack = 0.5
sub_attack = 0
shore_bombardment = 0
is_sub = yes
}
</v>
      </c>
    </row>
    <row r="46" spans="1:130" s="3" customFormat="1" x14ac:dyDescent="0.25">
      <c r="A46" s="2" t="str">
        <f t="shared" ca="1" si="131"/>
        <v>C:\Program Files (x86)\Paradox Interactive\Hearts of Iron III\tfh\mod\ww1tfh\units\transport.txt</v>
      </c>
      <c r="B46" s="3" t="s">
        <v>298</v>
      </c>
      <c r="C46" s="5" t="s">
        <v>62</v>
      </c>
      <c r="D46" s="6">
        <v>0</v>
      </c>
      <c r="E46" s="6">
        <v>0</v>
      </c>
      <c r="F46" s="5">
        <v>5</v>
      </c>
      <c r="G46" s="5">
        <v>1</v>
      </c>
      <c r="H46" s="5">
        <v>90</v>
      </c>
      <c r="I46" s="5">
        <v>0.4</v>
      </c>
      <c r="J46" s="5">
        <v>0.2</v>
      </c>
      <c r="K46" s="5">
        <v>20</v>
      </c>
      <c r="L46" s="6">
        <v>0.5</v>
      </c>
      <c r="M46" s="5">
        <v>100</v>
      </c>
      <c r="N46" s="6">
        <v>12</v>
      </c>
      <c r="O46" s="5">
        <v>0</v>
      </c>
      <c r="P46" s="5" t="s">
        <v>313</v>
      </c>
      <c r="Q46" s="5">
        <v>1</v>
      </c>
      <c r="R46" s="5">
        <v>1</v>
      </c>
      <c r="S46" s="5">
        <v>0.05</v>
      </c>
      <c r="T46" s="5" t="s">
        <v>328</v>
      </c>
      <c r="U46" s="5">
        <v>0.5</v>
      </c>
      <c r="V46" s="5" t="s">
        <v>314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>
        <v>40</v>
      </c>
      <c r="AC46" s="5">
        <v>3000</v>
      </c>
      <c r="AD46" s="5">
        <v>0.1</v>
      </c>
      <c r="AE46" s="5">
        <v>0</v>
      </c>
      <c r="AF46" s="5">
        <v>0</v>
      </c>
      <c r="AG46" s="6">
        <v>0</v>
      </c>
      <c r="AH46" s="5">
        <v>90</v>
      </c>
      <c r="AI46" s="5">
        <v>0</v>
      </c>
      <c r="AJ46" s="13">
        <v>0</v>
      </c>
      <c r="AK46" s="11">
        <v>0</v>
      </c>
      <c r="AL46" s="5">
        <v>0</v>
      </c>
      <c r="AM46" s="5">
        <v>0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33"/>
        <v/>
      </c>
      <c r="BP46" s="3" t="str">
        <f t="shared" si="134"/>
        <v>air_attack = 0</v>
      </c>
      <c r="BQ46" s="3" t="str">
        <f t="shared" si="135"/>
        <v>air_defence = 0</v>
      </c>
      <c r="BR46" s="3" t="str">
        <f t="shared" si="136"/>
        <v>build_cost_ic = 5</v>
      </c>
      <c r="BS46" s="3" t="str">
        <f t="shared" si="137"/>
        <v>build_cost_manpower = 1</v>
      </c>
      <c r="BT46" s="3" t="str">
        <f t="shared" si="138"/>
        <v>build_time = 90</v>
      </c>
      <c r="BU46" s="3" t="str">
        <f t="shared" si="139"/>
        <v>completion_size = 0.4</v>
      </c>
      <c r="BV46" s="3" t="str">
        <f t="shared" si="140"/>
        <v>default_morale = 0.2</v>
      </c>
      <c r="BW46" s="3" t="str">
        <f t="shared" si="141"/>
        <v>default_organisation = 20</v>
      </c>
      <c r="BX46" s="3" t="str">
        <f t="shared" si="142"/>
        <v>fuel_consumption = 0.5</v>
      </c>
      <c r="BY46" s="3" t="str">
        <f t="shared" si="143"/>
        <v>max_strength = 100</v>
      </c>
      <c r="BZ46" s="3" t="str">
        <f t="shared" si="144"/>
        <v>maximum_speed = 12</v>
      </c>
      <c r="CA46" s="3" t="str">
        <f t="shared" si="145"/>
        <v>officers = 0</v>
      </c>
      <c r="CB46" s="3" t="str">
        <f t="shared" si="146"/>
        <v>on_completion = transport_practical</v>
      </c>
      <c r="CC46" s="3" t="str">
        <f t="shared" si="147"/>
        <v>priority = 1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Transportship</v>
      </c>
      <c r="CG46" s="3" t="str">
        <f t="shared" si="151"/>
        <v>supply_consumption = 0.5</v>
      </c>
      <c r="CH46" s="3" t="str">
        <f t="shared" si="152"/>
        <v>type = naval</v>
      </c>
      <c r="CI46" s="3" t="str">
        <f t="shared" si="153"/>
        <v>transport = yes</v>
      </c>
      <c r="CJ46" s="3" t="str">
        <f t="shared" si="154"/>
        <v>hull = 0.6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40</v>
      </c>
      <c r="CO46" s="3" t="str">
        <f t="shared" si="159"/>
        <v>range = 3000</v>
      </c>
      <c r="CP46" s="3" t="str">
        <f t="shared" si="160"/>
        <v>distance = 0.1</v>
      </c>
      <c r="CQ46" s="3" t="str">
        <f t="shared" si="161"/>
        <v>surface_detection = 0</v>
      </c>
      <c r="CR46" s="3" t="str">
        <f t="shared" si="162"/>
        <v>air_detection = 0</v>
      </c>
      <c r="CS46" s="3" t="str">
        <f t="shared" si="163"/>
        <v>sub_detection = 0</v>
      </c>
      <c r="CT46" s="3" t="str">
        <f t="shared" si="164"/>
        <v>visibility = 90</v>
      </c>
      <c r="CU46" s="3" t="str">
        <f t="shared" si="165"/>
        <v>sea_defence = 0</v>
      </c>
      <c r="CV46" s="3" t="str">
        <f t="shared" si="166"/>
        <v>convoy_attack = 0</v>
      </c>
      <c r="CW46" s="3" t="str">
        <f t="shared" si="167"/>
        <v>sea_attack = 0</v>
      </c>
      <c r="CX46" s="3" t="str">
        <f t="shared" si="168"/>
        <v>sub_attack = 0</v>
      </c>
      <c r="CY46" s="3" t="str">
        <f t="shared" si="169"/>
        <v>shore_bombardment = 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/>
      </c>
      <c r="DD46" s="3" t="s">
        <v>0</v>
      </c>
      <c r="DZ46" s="3" t="str">
        <f t="shared" si="174"/>
        <v xml:space="preserve">transport_ship = {
air_attack = 0
air_defence = 0
build_cost_ic = 5
build_cost_manpower = 1
build_time = 90
completion_size = 0.4
default_morale = 0.2
default_organisation = 20
fuel_consumption = 0.5
max_strength = 100
maximum_speed = 12
officers = 0
on_completion = transport_practical
priority = 1
radio_strength = 1
repair_cost_multiplier = 0.05
sprite = Transportship
supply_consumption = 0.5
type = naval
transport = yes
hull = 0.6
transport_capability = 40
range = 3000
distance = 0.1
surface_detection = 0
air_detection = 0
sub_detection = 0
visibility = 90
sea_defence = 0
convoy_attack = 0
sea_attack = 0
sub_attack = 0
shore_bombardment = 0
}
</v>
      </c>
    </row>
    <row r="47" spans="1:130" s="3" customFormat="1" x14ac:dyDescent="0.25">
      <c r="A47" s="2" t="str">
        <f t="shared" ca="1" si="131"/>
        <v>C:\Program Files (x86)\Paradox Interactive\Hearts of Iron III\tfh\mod\ww1tfh\units\dreadnaught.txt</v>
      </c>
      <c r="B47" s="3" t="s">
        <v>299</v>
      </c>
      <c r="C47" s="5" t="s">
        <v>90</v>
      </c>
      <c r="D47" s="6">
        <v>0</v>
      </c>
      <c r="E47" s="6">
        <v>2</v>
      </c>
      <c r="F47" s="5">
        <v>6.3</v>
      </c>
      <c r="G47" s="5">
        <v>0.83</v>
      </c>
      <c r="H47" s="5">
        <v>650</v>
      </c>
      <c r="I47" s="5">
        <v>3.4</v>
      </c>
      <c r="J47" s="5">
        <v>0.3</v>
      </c>
      <c r="K47" s="5">
        <v>30</v>
      </c>
      <c r="L47" s="6">
        <v>1.4</v>
      </c>
      <c r="M47" s="5">
        <v>100</v>
      </c>
      <c r="N47" s="6">
        <v>20.350000000000001</v>
      </c>
      <c r="O47" s="5">
        <v>83</v>
      </c>
      <c r="P47" s="5" t="s">
        <v>315</v>
      </c>
      <c r="Q47" s="5">
        <v>12</v>
      </c>
      <c r="R47" s="5">
        <v>1.25</v>
      </c>
      <c r="S47" s="5">
        <v>0.05</v>
      </c>
      <c r="T47" s="5" t="s">
        <v>317</v>
      </c>
      <c r="U47" s="5">
        <v>0.8</v>
      </c>
      <c r="V47" s="5" t="s">
        <v>314</v>
      </c>
      <c r="W47" s="5" t="s">
        <v>62</v>
      </c>
      <c r="X47" s="6">
        <v>1</v>
      </c>
      <c r="Y47" s="5" t="s">
        <v>62</v>
      </c>
      <c r="Z47" s="5" t="s">
        <v>62</v>
      </c>
      <c r="AA47" s="5" t="s">
        <v>62</v>
      </c>
      <c r="AB47" s="5">
        <v>0</v>
      </c>
      <c r="AC47" s="5">
        <v>5075</v>
      </c>
      <c r="AD47" s="5">
        <v>0.23</v>
      </c>
      <c r="AE47" s="5">
        <v>1</v>
      </c>
      <c r="AF47" s="5">
        <v>1</v>
      </c>
      <c r="AG47" s="6">
        <v>0</v>
      </c>
      <c r="AH47" s="5">
        <v>100</v>
      </c>
      <c r="AI47" s="5">
        <v>2.5</v>
      </c>
      <c r="AJ47" s="13">
        <v>22</v>
      </c>
      <c r="AK47" s="11">
        <v>16.5</v>
      </c>
      <c r="AL47" s="5">
        <v>0</v>
      </c>
      <c r="AM47" s="5">
        <v>14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33"/>
        <v>active = no</v>
      </c>
      <c r="BP47" s="3" t="str">
        <f t="shared" si="134"/>
        <v>air_attack = 0</v>
      </c>
      <c r="BQ47" s="3" t="str">
        <f t="shared" si="135"/>
        <v>air_defence = 2</v>
      </c>
      <c r="BR47" s="3" t="str">
        <f t="shared" si="136"/>
        <v>build_cost_ic = 6.3</v>
      </c>
      <c r="BS47" s="3" t="str">
        <f t="shared" si="137"/>
        <v>build_cost_manpower = 0.83</v>
      </c>
      <c r="BT47" s="3" t="str">
        <f t="shared" si="138"/>
        <v>build_time = 650</v>
      </c>
      <c r="BU47" s="3" t="str">
        <f t="shared" si="139"/>
        <v>completion_size = 3.4</v>
      </c>
      <c r="BV47" s="3" t="str">
        <f t="shared" si="140"/>
        <v>default_morale = 0.3</v>
      </c>
      <c r="BW47" s="3" t="str">
        <f t="shared" si="141"/>
        <v>default_organisation = 30</v>
      </c>
      <c r="BX47" s="3" t="str">
        <f t="shared" si="142"/>
        <v>fuel_consumption = 1.4</v>
      </c>
      <c r="BY47" s="3" t="str">
        <f t="shared" si="143"/>
        <v>max_strength = 100</v>
      </c>
      <c r="BZ47" s="3" t="str">
        <f t="shared" si="144"/>
        <v>maximum_speed = 20.35</v>
      </c>
      <c r="CA47" s="3" t="str">
        <f t="shared" si="145"/>
        <v>officers = 83</v>
      </c>
      <c r="CB47" s="3" t="str">
        <f t="shared" si="146"/>
        <v>on_completion = capitalship_practical</v>
      </c>
      <c r="CC47" s="3" t="str">
        <f t="shared" si="147"/>
        <v>priority = 12</v>
      </c>
      <c r="CD47" s="3" t="str">
        <f t="shared" si="148"/>
        <v>radio_strength = 1.25</v>
      </c>
      <c r="CE47" s="3" t="str">
        <f t="shared" si="149"/>
        <v>repair_cost_multiplier = 0.05</v>
      </c>
      <c r="CF47" s="3" t="str">
        <f t="shared" si="150"/>
        <v>sprite = Battleship</v>
      </c>
      <c r="CG47" s="3" t="str">
        <f t="shared" si="151"/>
        <v>supply_consumption = 0.8</v>
      </c>
      <c r="CH47" s="3" t="str">
        <f t="shared" si="152"/>
        <v>type = naval</v>
      </c>
      <c r="CI47" s="3" t="str">
        <f t="shared" si="153"/>
        <v/>
      </c>
      <c r="CJ47" s="3" t="str">
        <f t="shared" si="154"/>
        <v>hull = 1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0</v>
      </c>
      <c r="CO47" s="3" t="str">
        <f t="shared" si="159"/>
        <v>range = 5075</v>
      </c>
      <c r="CP47" s="3" t="str">
        <f t="shared" si="160"/>
        <v>distance = 0.23</v>
      </c>
      <c r="CQ47" s="3" t="str">
        <f t="shared" si="161"/>
        <v>surface_detection = 1</v>
      </c>
      <c r="CR47" s="3" t="str">
        <f t="shared" si="162"/>
        <v>air_detection = 1</v>
      </c>
      <c r="CS47" s="3" t="str">
        <f t="shared" si="163"/>
        <v>sub_detection = 0</v>
      </c>
      <c r="CT47" s="3" t="str">
        <f t="shared" si="164"/>
        <v>visibility = 100</v>
      </c>
      <c r="CU47" s="3" t="str">
        <f t="shared" si="165"/>
        <v>sea_defence = 2.5</v>
      </c>
      <c r="CV47" s="3" t="str">
        <f t="shared" si="166"/>
        <v>convoy_attack = 22</v>
      </c>
      <c r="CW47" s="3" t="str">
        <f t="shared" si="167"/>
        <v>sea_attack = 16.5</v>
      </c>
      <c r="CX47" s="3" t="str">
        <f t="shared" si="168"/>
        <v>sub_attack = 0</v>
      </c>
      <c r="CY47" s="3" t="str">
        <f t="shared" si="169"/>
        <v>shore_bombardment = 14</v>
      </c>
      <c r="CZ47" s="3" t="str">
        <f t="shared" si="170"/>
        <v>capital = yes</v>
      </c>
      <c r="DA47" s="3" t="str">
        <f t="shared" si="171"/>
        <v>can_be_pride = yes</v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dreadnaught = {
active = no
air_attack = 0
air_defence = 2
build_cost_ic = 6.3
build_cost_manpower = 0.83
build_time = 650
completion_size = 3.4
default_morale = 0.3
default_organisation = 30
fuel_consumption = 1.4
max_strength = 100
maximum_speed = 20.35
officers = 83
on_completion = capitalship_practical
priority = 12
radio_strength = 1.25
repair_cost_multiplier = 0.05
sprite = Battleship
supply_consumption = 0.8
type = naval
hull = 1
transport_capability = 0
range = 5075
distance = 0.23
surface_detection = 1
air_detection = 1
sub_detection = 0
visibility = 100
sea_defence = 2.5
convoy_attack = 22
sea_attack = 16.5
sub_attack = 0
shore_bombardment = 14
capital = yes
can_be_pride = yes
}
</v>
      </c>
    </row>
    <row r="48" spans="1:130" x14ac:dyDescent="0.25">
      <c r="A48" s="2" t="str">
        <f t="shared" ca="1" si="131"/>
        <v>C:\Program Files (x86)\Paradox Interactive\Hearts of Iron III\tfh\mod\ww1tfh\units\coastal_submarine.txt</v>
      </c>
      <c r="B48" s="2" t="s">
        <v>333</v>
      </c>
      <c r="C48" s="2" t="s">
        <v>90</v>
      </c>
      <c r="D48" s="2">
        <v>0</v>
      </c>
      <c r="E48" s="2">
        <v>0.5</v>
      </c>
      <c r="F48" s="2">
        <v>1.55</v>
      </c>
      <c r="G48" s="2">
        <v>7.0000000000000007E-2</v>
      </c>
      <c r="H48" s="2">
        <v>200</v>
      </c>
      <c r="I48" s="2">
        <v>0.3</v>
      </c>
      <c r="J48" s="2">
        <v>0.35</v>
      </c>
      <c r="K48" s="2">
        <v>25</v>
      </c>
      <c r="L48" s="12">
        <v>0.05</v>
      </c>
      <c r="M48" s="2">
        <v>100</v>
      </c>
      <c r="N48" s="2">
        <v>8.3000000000000007</v>
      </c>
      <c r="O48" s="2">
        <v>7</v>
      </c>
      <c r="P48" s="2" t="s">
        <v>326</v>
      </c>
      <c r="Q48" s="2">
        <v>2</v>
      </c>
      <c r="R48" s="2">
        <v>1</v>
      </c>
      <c r="S48" s="2">
        <v>0.05</v>
      </c>
      <c r="T48" s="2" t="s">
        <v>327</v>
      </c>
      <c r="U48" s="2">
        <v>0.1</v>
      </c>
      <c r="V48" s="2" t="s">
        <v>314</v>
      </c>
      <c r="W48" s="2" t="s">
        <v>62</v>
      </c>
      <c r="X48" s="2">
        <v>0.05</v>
      </c>
      <c r="Y48" s="2" t="s">
        <v>62</v>
      </c>
      <c r="AB48" s="2">
        <v>0</v>
      </c>
      <c r="AC48" s="2">
        <v>175</v>
      </c>
      <c r="AD48" s="2">
        <v>0.04</v>
      </c>
      <c r="AE48" s="2">
        <v>2</v>
      </c>
      <c r="AF48" s="2">
        <v>1</v>
      </c>
      <c r="AG48" s="2">
        <v>0</v>
      </c>
      <c r="AH48" s="2">
        <v>7</v>
      </c>
      <c r="AI48" s="2">
        <v>10.25</v>
      </c>
      <c r="AJ48" s="14">
        <v>0.5</v>
      </c>
      <c r="AK48" s="2">
        <v>0.25</v>
      </c>
      <c r="AL48" s="2">
        <v>0</v>
      </c>
      <c r="AM48" s="2">
        <v>0</v>
      </c>
      <c r="AN48" s="2" t="s">
        <v>62</v>
      </c>
      <c r="AO48" s="2" t="s">
        <v>62</v>
      </c>
      <c r="AP48" s="2" t="s">
        <v>62</v>
      </c>
      <c r="AQ48" s="2" t="s">
        <v>159</v>
      </c>
      <c r="BN48" s="3" t="str">
        <f t="shared" ref="BN48:BN50" si="175">B48&amp;" = {"</f>
        <v>coastal_submarine = {</v>
      </c>
      <c r="BO48" s="3" t="str">
        <f t="shared" ref="BO48:BO50" si="176">IF(C48="","",C$36&amp;" = "&amp;C48)</f>
        <v>active = no</v>
      </c>
      <c r="BP48" s="3" t="str">
        <f t="shared" ref="BP48:BP50" si="177">IF(D48="","",D$36&amp;" = "&amp;D48)</f>
        <v>air_attack = 0</v>
      </c>
      <c r="BQ48" s="3" t="str">
        <f t="shared" ref="BQ48:BQ50" si="178">IF(E48="","",E$36&amp;" = "&amp;E48)</f>
        <v>air_defence = 0.5</v>
      </c>
      <c r="BR48" s="3" t="str">
        <f t="shared" ref="BR48:BR50" si="179">IF(F48="","",F$36&amp;" = "&amp;F48)</f>
        <v>build_cost_ic = 1.55</v>
      </c>
      <c r="BS48" s="3" t="str">
        <f t="shared" ref="BS48:BS50" si="180">IF(G48="","",G$36&amp;" = "&amp;G48)</f>
        <v>build_cost_manpower = 0.07</v>
      </c>
      <c r="BT48" s="3" t="str">
        <f t="shared" ref="BT48:BT50" si="181">IF(H48="","",H$36&amp;" = "&amp;H48)</f>
        <v>build_time = 200</v>
      </c>
      <c r="BU48" s="3" t="str">
        <f t="shared" ref="BU48:BU50" si="182">IF(I48="","",I$36&amp;" = "&amp;I48)</f>
        <v>completion_size = 0.3</v>
      </c>
      <c r="BV48" s="3" t="str">
        <f t="shared" ref="BV48:BV50" si="183">IF(J48="","",J$36&amp;" = "&amp;J48)</f>
        <v>default_morale = 0.35</v>
      </c>
      <c r="BW48" s="3" t="str">
        <f t="shared" ref="BW48:BW50" si="184">IF(K48="","",K$36&amp;" = "&amp;K48)</f>
        <v>default_organisation = 25</v>
      </c>
      <c r="BX48" s="3" t="str">
        <f t="shared" ref="BX48:BX50" si="185">IF(L48="","",L$36&amp;" = "&amp;L48)</f>
        <v>fuel_consumption = 0.05</v>
      </c>
      <c r="BY48" s="3" t="str">
        <f t="shared" ref="BY48:BY50" si="186">IF(M48="","",M$36&amp;" = "&amp;M48)</f>
        <v>max_strength = 100</v>
      </c>
      <c r="BZ48" s="3" t="str">
        <f t="shared" ref="BZ48:BZ50" si="187">IF(N48="","",N$36&amp;" = "&amp;N48)</f>
        <v>maximum_speed = 8.3</v>
      </c>
      <c r="CA48" s="3" t="str">
        <f t="shared" ref="CA48:CA50" si="188">IF(O48="","",O$36&amp;" = "&amp;O48)</f>
        <v>officers = 7</v>
      </c>
      <c r="CB48" s="3" t="str">
        <f t="shared" ref="CB48:CB50" si="189">IF(P48="","",P$36&amp;" = "&amp;P48)</f>
        <v>on_completion = submarine_practical</v>
      </c>
      <c r="CC48" s="3" t="str">
        <f t="shared" ref="CC48:CC50" si="190">IF(Q48="","",Q$36&amp;" = "&amp;Q48)</f>
        <v>priority = 2</v>
      </c>
      <c r="CD48" s="3" t="str">
        <f t="shared" ref="CD48:CD50" si="191">IF(R48="","",R$36&amp;" = "&amp;R48)</f>
        <v>radio_strength = 1</v>
      </c>
      <c r="CE48" s="3" t="str">
        <f t="shared" ref="CE48:CE50" si="192">IF(S48="","",S$36&amp;" = "&amp;S48)</f>
        <v>repair_cost_multiplier = 0.05</v>
      </c>
      <c r="CF48" s="3" t="str">
        <f t="shared" ref="CF48:CF50" si="193">IF(T48="","",T$36&amp;" = "&amp;T48)</f>
        <v>sprite = Submarine</v>
      </c>
      <c r="CG48" s="3" t="str">
        <f t="shared" ref="CG48:CG50" si="194">IF(U48="","",U$36&amp;" = "&amp;U48)</f>
        <v>supply_consumption = 0.1</v>
      </c>
      <c r="CH48" s="3" t="str">
        <f t="shared" ref="CH48:CH50" si="195">IF(V48="","",V$36&amp;" = "&amp;V48)</f>
        <v>type = naval</v>
      </c>
      <c r="CI48" s="3" t="str">
        <f t="shared" ref="CI48:CI50" si="196">IF(W48="","",W$36&amp;" = "&amp;W48)</f>
        <v/>
      </c>
      <c r="CJ48" s="3" t="str">
        <f t="shared" ref="CJ48:CJ50" si="197">IF(X48="","",X$36&amp;" = "&amp;X48)</f>
        <v>hull = 0.05</v>
      </c>
      <c r="CK48" s="3" t="str">
        <f t="shared" ref="CK48:CK50" si="198">IF(Y48="","",Y$36&amp;" = "&amp;Y48)</f>
        <v/>
      </c>
      <c r="CL48" s="3" t="str">
        <f t="shared" ref="CL48:CL50" si="199">IF(Z48="","",Z$36&amp;" = "&amp;Z48)</f>
        <v/>
      </c>
      <c r="CM48" s="3" t="str">
        <f t="shared" ref="CM48:CM50" si="200">IF(AA48="","",AA$36&amp;" = "&amp;AA48)</f>
        <v/>
      </c>
      <c r="CN48" s="3" t="str">
        <f t="shared" ref="CN48:CN50" si="201">IF(AB48="","",AB$36&amp;" = "&amp;AB48)</f>
        <v>transport_capability = 0</v>
      </c>
      <c r="CO48" s="3" t="str">
        <f t="shared" ref="CO48:CO50" si="202">IF(AC48="","",AC$36&amp;" = "&amp;AC48)</f>
        <v>range = 175</v>
      </c>
      <c r="CP48" s="3" t="str">
        <f t="shared" ref="CP48:CP50" si="203">IF(AD48="","",AD$36&amp;" = "&amp;AD48)</f>
        <v>distance = 0.04</v>
      </c>
      <c r="CQ48" s="3" t="str">
        <f t="shared" ref="CQ48:CQ50" si="204">IF(AE48="","",AE$36&amp;" = "&amp;AE48)</f>
        <v>surface_detection = 2</v>
      </c>
      <c r="CR48" s="3" t="str">
        <f t="shared" ref="CR48:CR50" si="205">IF(AF48="","",AF$36&amp;" = "&amp;AF48)</f>
        <v>air_detection = 1</v>
      </c>
      <c r="CS48" s="3" t="str">
        <f t="shared" ref="CS48:CS50" si="206">IF(AG48="","",AG$36&amp;" = "&amp;AG48)</f>
        <v>sub_detection = 0</v>
      </c>
      <c r="CT48" s="3" t="str">
        <f t="shared" ref="CT48:CT50" si="207">IF(AH48="","",AH$36&amp;" = "&amp;AH48)</f>
        <v>visibility = 7</v>
      </c>
      <c r="CU48" s="3" t="str">
        <f t="shared" ref="CU48:CU50" si="208">IF(AI48="","",AI$36&amp;" = "&amp;AI48)</f>
        <v>sea_defence = 10.25</v>
      </c>
      <c r="CV48" s="3" t="str">
        <f t="shared" ref="CV48:CV50" si="209">IF(AJ48="","",AJ$36&amp;" = "&amp;AJ48)</f>
        <v>convoy_attack = 0.5</v>
      </c>
      <c r="CW48" s="3" t="str">
        <f t="shared" ref="CW48:CW50" si="210">IF(AK48="","",AK$36&amp;" = "&amp;AK48)</f>
        <v>sea_attack = 0.25</v>
      </c>
      <c r="CX48" s="3" t="str">
        <f t="shared" ref="CX48:CX50" si="211">IF(AL48="","",AL$36&amp;" = "&amp;AL48)</f>
        <v>sub_attack = 0</v>
      </c>
      <c r="CY48" s="3" t="str">
        <f t="shared" ref="CY48:CY50" si="212">IF(AM48="","",AM$36&amp;" = "&amp;AM48)</f>
        <v>shore_bombardment = 0</v>
      </c>
      <c r="CZ48" s="3" t="str">
        <f t="shared" ref="CZ48:CZ50" si="213">IF(AN48="","",AN$36&amp;" = "&amp;AN48)</f>
        <v/>
      </c>
      <c r="DA48" s="3" t="str">
        <f t="shared" ref="DA48:DA50" si="214">IF(AO48="","",AO$36&amp;" = "&amp;AO48)</f>
        <v/>
      </c>
      <c r="DB48" s="3" t="str">
        <f t="shared" ref="DB48:DB50" si="215">IF(AP48="","",AP$36&amp;" = "&amp;AP48)</f>
        <v/>
      </c>
      <c r="DC48" s="3" t="str">
        <f t="shared" ref="DC48:DC50" si="216">IF(AQ48="","",AQ$36&amp;" = "&amp;AQ48)</f>
        <v>is_sub = yes</v>
      </c>
      <c r="DD48" s="3" t="s">
        <v>0</v>
      </c>
      <c r="DZ48" s="3" t="str">
        <f t="shared" si="174"/>
        <v xml:space="preserve">coastal_submarine = {
active = no
air_attack = 0
air_defence = 0.5
build_cost_ic = 1.55
build_cost_manpower = 0.07
build_time = 200
completion_size = 0.3
default_morale = 0.35
default_organisation = 25
fuel_consumption = 0.05
max_strength = 100
maximum_speed = 8.3
officers = 7
on_completion = submarine_practical
priority = 2
radio_strength = 1
repair_cost_multiplier = 0.05
sprite = Submarine
supply_consumption = 0.1
type = naval
hull = 0.05
transport_capability = 0
range = 175
distance = 0.04
surface_detection = 2
air_detection = 1
sub_detection = 0
visibility = 7
sea_defence = 10.25
convoy_attack = 0.5
sea_attack = 0.25
sub_attack = 0
shore_bombardment = 0
is_sub = yes
}
</v>
      </c>
    </row>
    <row r="49" spans="1:130" x14ac:dyDescent="0.25">
      <c r="A49" s="2" t="str">
        <f t="shared" ca="1" si="131"/>
        <v>C:\Program Files (x86)\Paradox Interactive\Hearts of Iron III\tfh\mod\ww1tfh\units\longrange_submarine.txt</v>
      </c>
      <c r="B49" s="2" t="s">
        <v>334</v>
      </c>
      <c r="C49" s="2" t="s">
        <v>90</v>
      </c>
      <c r="D49" s="2">
        <v>0</v>
      </c>
      <c r="E49" s="2">
        <v>0.5</v>
      </c>
      <c r="F49" s="2">
        <v>4.9000000000000004</v>
      </c>
      <c r="G49" s="2">
        <v>0.24</v>
      </c>
      <c r="H49" s="2">
        <v>400</v>
      </c>
      <c r="I49" s="2">
        <v>1.6</v>
      </c>
      <c r="J49" s="2">
        <v>0.35</v>
      </c>
      <c r="K49" s="2">
        <v>25</v>
      </c>
      <c r="L49" s="12">
        <v>0.3</v>
      </c>
      <c r="M49" s="2">
        <v>100</v>
      </c>
      <c r="N49" s="2">
        <v>14</v>
      </c>
      <c r="O49" s="2">
        <v>24</v>
      </c>
      <c r="P49" s="2" t="s">
        <v>326</v>
      </c>
      <c r="Q49" s="2">
        <v>4</v>
      </c>
      <c r="R49" s="2">
        <v>1</v>
      </c>
      <c r="S49" s="2">
        <v>0.05</v>
      </c>
      <c r="T49" s="2" t="s">
        <v>327</v>
      </c>
      <c r="U49" s="2">
        <v>0.5</v>
      </c>
      <c r="V49" s="2" t="s">
        <v>314</v>
      </c>
      <c r="W49" s="2" t="s">
        <v>62</v>
      </c>
      <c r="X49" s="2">
        <v>0.3</v>
      </c>
      <c r="Y49" s="2" t="s">
        <v>62</v>
      </c>
      <c r="AB49" s="2">
        <v>0</v>
      </c>
      <c r="AC49" s="2">
        <v>0</v>
      </c>
      <c r="AD49" s="2">
        <v>0.04</v>
      </c>
      <c r="AE49" s="2">
        <v>2</v>
      </c>
      <c r="AF49" s="2">
        <v>1</v>
      </c>
      <c r="AG49" s="2">
        <v>0</v>
      </c>
      <c r="AH49" s="2">
        <v>8.5</v>
      </c>
      <c r="AI49" s="2">
        <v>4.25</v>
      </c>
      <c r="AJ49" s="14">
        <v>1</v>
      </c>
      <c r="AK49" s="2">
        <v>0.5</v>
      </c>
      <c r="AL49" s="2">
        <v>0</v>
      </c>
      <c r="AM49" s="2">
        <v>0</v>
      </c>
      <c r="AN49" s="2" t="s">
        <v>62</v>
      </c>
      <c r="AO49" s="2" t="s">
        <v>62</v>
      </c>
      <c r="AP49" s="2" t="s">
        <v>62</v>
      </c>
      <c r="AQ49" s="2" t="s">
        <v>159</v>
      </c>
      <c r="BN49" s="3" t="str">
        <f t="shared" si="175"/>
        <v>longrange_submarine = {</v>
      </c>
      <c r="BO49" s="3" t="str">
        <f t="shared" si="176"/>
        <v>active = no</v>
      </c>
      <c r="BP49" s="3" t="str">
        <f t="shared" si="177"/>
        <v>air_attack = 0</v>
      </c>
      <c r="BQ49" s="3" t="str">
        <f t="shared" si="178"/>
        <v>air_defence = 0.5</v>
      </c>
      <c r="BR49" s="3" t="str">
        <f t="shared" si="179"/>
        <v>build_cost_ic = 4.9</v>
      </c>
      <c r="BS49" s="3" t="str">
        <f t="shared" si="180"/>
        <v>build_cost_manpower = 0.24</v>
      </c>
      <c r="BT49" s="3" t="str">
        <f t="shared" si="181"/>
        <v>build_time = 400</v>
      </c>
      <c r="BU49" s="3" t="str">
        <f t="shared" si="182"/>
        <v>completion_size = 1.6</v>
      </c>
      <c r="BV49" s="3" t="str">
        <f t="shared" si="183"/>
        <v>default_morale = 0.35</v>
      </c>
      <c r="BW49" s="3" t="str">
        <f t="shared" si="184"/>
        <v>default_organisation = 25</v>
      </c>
      <c r="BX49" s="3" t="str">
        <f t="shared" si="185"/>
        <v>fuel_consumption = 0.3</v>
      </c>
      <c r="BY49" s="3" t="str">
        <f t="shared" si="186"/>
        <v>max_strength = 100</v>
      </c>
      <c r="BZ49" s="3" t="str">
        <f t="shared" si="187"/>
        <v>maximum_speed = 14</v>
      </c>
      <c r="CA49" s="3" t="str">
        <f t="shared" si="188"/>
        <v>officers = 24</v>
      </c>
      <c r="CB49" s="3" t="str">
        <f t="shared" si="189"/>
        <v>on_completion = submarine_practical</v>
      </c>
      <c r="CC49" s="3" t="str">
        <f t="shared" si="190"/>
        <v>priority = 4</v>
      </c>
      <c r="CD49" s="3" t="str">
        <f t="shared" si="191"/>
        <v>radio_strength = 1</v>
      </c>
      <c r="CE49" s="3" t="str">
        <f t="shared" si="192"/>
        <v>repair_cost_multiplier = 0.05</v>
      </c>
      <c r="CF49" s="3" t="str">
        <f t="shared" si="193"/>
        <v>sprite = Submarine</v>
      </c>
      <c r="CG49" s="3" t="str">
        <f t="shared" si="194"/>
        <v>supply_consumption = 0.5</v>
      </c>
      <c r="CH49" s="3" t="str">
        <f t="shared" si="195"/>
        <v>type = naval</v>
      </c>
      <c r="CI49" s="3" t="str">
        <f t="shared" si="196"/>
        <v/>
      </c>
      <c r="CJ49" s="3" t="str">
        <f t="shared" si="197"/>
        <v>hull = 0.3</v>
      </c>
      <c r="CK49" s="3" t="str">
        <f t="shared" si="198"/>
        <v/>
      </c>
      <c r="CL49" s="3" t="str">
        <f t="shared" si="199"/>
        <v/>
      </c>
      <c r="CM49" s="3" t="str">
        <f t="shared" si="200"/>
        <v/>
      </c>
      <c r="CN49" s="3" t="str">
        <f t="shared" si="201"/>
        <v>transport_capability = 0</v>
      </c>
      <c r="CO49" s="3" t="str">
        <f t="shared" si="202"/>
        <v>range = 0</v>
      </c>
      <c r="CP49" s="3" t="str">
        <f t="shared" si="203"/>
        <v>distance = 0.04</v>
      </c>
      <c r="CQ49" s="3" t="str">
        <f t="shared" si="204"/>
        <v>surface_detection = 2</v>
      </c>
      <c r="CR49" s="3" t="str">
        <f t="shared" si="205"/>
        <v>air_detection = 1</v>
      </c>
      <c r="CS49" s="3" t="str">
        <f t="shared" si="206"/>
        <v>sub_detection = 0</v>
      </c>
      <c r="CT49" s="3" t="str">
        <f t="shared" si="207"/>
        <v>visibility = 8.5</v>
      </c>
      <c r="CU49" s="3" t="str">
        <f t="shared" si="208"/>
        <v>sea_defence = 4.25</v>
      </c>
      <c r="CV49" s="3" t="str">
        <f t="shared" si="209"/>
        <v>convoy_attack = 1</v>
      </c>
      <c r="CW49" s="3" t="str">
        <f t="shared" si="210"/>
        <v>sea_attack = 0.5</v>
      </c>
      <c r="CX49" s="3" t="str">
        <f t="shared" si="211"/>
        <v>sub_attack = 0</v>
      </c>
      <c r="CY49" s="3" t="str">
        <f t="shared" si="212"/>
        <v>shore_bombardment = 0</v>
      </c>
      <c r="CZ49" s="3" t="str">
        <f t="shared" si="213"/>
        <v/>
      </c>
      <c r="DA49" s="3" t="str">
        <f t="shared" si="214"/>
        <v/>
      </c>
      <c r="DB49" s="3" t="str">
        <f t="shared" si="215"/>
        <v/>
      </c>
      <c r="DC49" s="3" t="str">
        <f t="shared" si="216"/>
        <v>is_sub = yes</v>
      </c>
      <c r="DD49" s="3" t="s">
        <v>0</v>
      </c>
      <c r="DZ49" s="3" t="str">
        <f t="shared" si="174"/>
        <v xml:space="preserve">longrange_submarine = {
active = no
air_attack = 0
air_defence = 0.5
build_cost_ic = 4.9
build_cost_manpower = 0.24
build_time = 400
completion_size = 1.6
default_morale = 0.35
default_organisation = 25
fuel_consumption = 0.3
max_strength = 100
maximum_speed = 14
officers = 24
on_completion = submarine_practical
priority = 4
radio_strength = 1
repair_cost_multiplier = 0.05
sprite = Submarine
supply_consumption = 0.5
type = naval
hull = 0.3
transport_capability = 0
range = 0
distance = 0.04
surface_detection = 2
air_detection = 1
sub_detection = 0
visibility = 8.5
sea_defence = 4.25
convoy_attack = 1
sea_attack = 0.5
sub_attack = 0
shore_bombardment = 0
is_sub = yes
}
</v>
      </c>
    </row>
    <row r="50" spans="1:130" x14ac:dyDescent="0.25">
      <c r="A50" s="2" t="str">
        <f t="shared" ca="1" si="131"/>
        <v>C:\Program Files (x86)\Paradox Interactive\Hearts of Iron III\tfh\mod\ww1tfh\units\protected_cruiser.txt</v>
      </c>
      <c r="B50" s="2" t="s">
        <v>335</v>
      </c>
      <c r="C50" s="2" t="s">
        <v>90</v>
      </c>
      <c r="D50" s="2">
        <v>0</v>
      </c>
      <c r="E50" s="2">
        <v>2</v>
      </c>
      <c r="F50" s="2">
        <v>2.35</v>
      </c>
      <c r="G50" s="2">
        <v>0.28999999999999998</v>
      </c>
      <c r="H50" s="2">
        <v>300</v>
      </c>
      <c r="I50" s="2">
        <v>0.6</v>
      </c>
      <c r="J50" s="2">
        <v>0.3</v>
      </c>
      <c r="K50" s="2">
        <v>30</v>
      </c>
      <c r="L50" s="12">
        <v>0.2</v>
      </c>
      <c r="M50" s="2">
        <v>100</v>
      </c>
      <c r="N50" s="2">
        <v>16.899999999999999</v>
      </c>
      <c r="O50" s="2">
        <v>29</v>
      </c>
      <c r="P50" s="2" t="s">
        <v>322</v>
      </c>
      <c r="Q50" s="2">
        <v>6</v>
      </c>
      <c r="R50" s="2">
        <v>1</v>
      </c>
      <c r="S50" s="2">
        <v>0.05</v>
      </c>
      <c r="T50" s="2" t="s">
        <v>325</v>
      </c>
      <c r="U50" s="2">
        <v>0.15</v>
      </c>
      <c r="V50" s="2" t="s">
        <v>314</v>
      </c>
      <c r="W50" s="2" t="s">
        <v>62</v>
      </c>
      <c r="X50" s="2">
        <v>0.15</v>
      </c>
      <c r="Y50" s="2" t="s">
        <v>62</v>
      </c>
      <c r="AB50" s="2">
        <v>0</v>
      </c>
      <c r="AC50" s="2">
        <v>2575</v>
      </c>
      <c r="AD50" s="2">
        <v>0.11</v>
      </c>
      <c r="AE50" s="2">
        <v>2</v>
      </c>
      <c r="AF50" s="2">
        <v>2</v>
      </c>
      <c r="AG50" s="2">
        <v>1</v>
      </c>
      <c r="AH50" s="2">
        <v>60</v>
      </c>
      <c r="AI50" s="2">
        <v>7.5</v>
      </c>
      <c r="AJ50" s="14">
        <v>3</v>
      </c>
      <c r="AK50" s="2">
        <v>1.45</v>
      </c>
      <c r="AL50" s="2">
        <v>0.75</v>
      </c>
      <c r="AM50" s="2">
        <v>1</v>
      </c>
      <c r="AN50" s="2" t="s">
        <v>62</v>
      </c>
      <c r="AO50" s="2" t="s">
        <v>62</v>
      </c>
      <c r="AP50" s="2" t="s">
        <v>62</v>
      </c>
      <c r="AQ50" s="2" t="s">
        <v>62</v>
      </c>
      <c r="BN50" s="3" t="str">
        <f t="shared" si="175"/>
        <v>protected_cruiser = {</v>
      </c>
      <c r="BO50" s="3" t="str">
        <f t="shared" si="176"/>
        <v>active = no</v>
      </c>
      <c r="BP50" s="3" t="str">
        <f t="shared" si="177"/>
        <v>air_attack = 0</v>
      </c>
      <c r="BQ50" s="3" t="str">
        <f t="shared" si="178"/>
        <v>air_defence = 2</v>
      </c>
      <c r="BR50" s="3" t="str">
        <f t="shared" si="179"/>
        <v>build_cost_ic = 2.35</v>
      </c>
      <c r="BS50" s="3" t="str">
        <f t="shared" si="180"/>
        <v>build_cost_manpower = 0.29</v>
      </c>
      <c r="BT50" s="3" t="str">
        <f t="shared" si="181"/>
        <v>build_time = 300</v>
      </c>
      <c r="BU50" s="3" t="str">
        <f t="shared" si="182"/>
        <v>completion_size = 0.6</v>
      </c>
      <c r="BV50" s="3" t="str">
        <f t="shared" si="183"/>
        <v>default_morale = 0.3</v>
      </c>
      <c r="BW50" s="3" t="str">
        <f t="shared" si="184"/>
        <v>default_organisation = 30</v>
      </c>
      <c r="BX50" s="3" t="str">
        <f t="shared" si="185"/>
        <v>fuel_consumption = 0.2</v>
      </c>
      <c r="BY50" s="3" t="str">
        <f t="shared" si="186"/>
        <v>max_strength = 100</v>
      </c>
      <c r="BZ50" s="3" t="str">
        <f t="shared" si="187"/>
        <v>maximum_speed = 16.9</v>
      </c>
      <c r="CA50" s="3" t="str">
        <f t="shared" si="188"/>
        <v>officers = 29</v>
      </c>
      <c r="CB50" s="3" t="str">
        <f t="shared" si="189"/>
        <v>on_completion = cruiser_practical</v>
      </c>
      <c r="CC50" s="3" t="str">
        <f t="shared" si="190"/>
        <v>priority = 6</v>
      </c>
      <c r="CD50" s="3" t="str">
        <f t="shared" si="191"/>
        <v>radio_strength = 1</v>
      </c>
      <c r="CE50" s="3" t="str">
        <f t="shared" si="192"/>
        <v>repair_cost_multiplier = 0.05</v>
      </c>
      <c r="CF50" s="3" t="str">
        <f t="shared" si="193"/>
        <v>sprite = LightCruiser</v>
      </c>
      <c r="CG50" s="3" t="str">
        <f t="shared" si="194"/>
        <v>supply_consumption = 0.15</v>
      </c>
      <c r="CH50" s="3" t="str">
        <f t="shared" si="195"/>
        <v>type = naval</v>
      </c>
      <c r="CI50" s="3" t="str">
        <f t="shared" si="196"/>
        <v/>
      </c>
      <c r="CJ50" s="3" t="str">
        <f t="shared" si="197"/>
        <v>hull = 0.15</v>
      </c>
      <c r="CK50" s="3" t="str">
        <f t="shared" si="198"/>
        <v/>
      </c>
      <c r="CL50" s="3" t="str">
        <f t="shared" si="199"/>
        <v/>
      </c>
      <c r="CM50" s="3" t="str">
        <f t="shared" si="200"/>
        <v/>
      </c>
      <c r="CN50" s="3" t="str">
        <f t="shared" si="201"/>
        <v>transport_capability = 0</v>
      </c>
      <c r="CO50" s="3" t="str">
        <f t="shared" si="202"/>
        <v>range = 2575</v>
      </c>
      <c r="CP50" s="3" t="str">
        <f t="shared" si="203"/>
        <v>distance = 0.11</v>
      </c>
      <c r="CQ50" s="3" t="str">
        <f t="shared" si="204"/>
        <v>surface_detection = 2</v>
      </c>
      <c r="CR50" s="3" t="str">
        <f t="shared" si="205"/>
        <v>air_detection = 2</v>
      </c>
      <c r="CS50" s="3" t="str">
        <f t="shared" si="206"/>
        <v>sub_detection = 1</v>
      </c>
      <c r="CT50" s="3" t="str">
        <f t="shared" si="207"/>
        <v>visibility = 60</v>
      </c>
      <c r="CU50" s="3" t="str">
        <f t="shared" si="208"/>
        <v>sea_defence = 7.5</v>
      </c>
      <c r="CV50" s="3" t="str">
        <f t="shared" si="209"/>
        <v>convoy_attack = 3</v>
      </c>
      <c r="CW50" s="3" t="str">
        <f t="shared" si="210"/>
        <v>sea_attack = 1.45</v>
      </c>
      <c r="CX50" s="3" t="str">
        <f t="shared" si="211"/>
        <v>sub_attack = 0.75</v>
      </c>
      <c r="CY50" s="3" t="str">
        <f t="shared" si="212"/>
        <v>shore_bombardment = 1</v>
      </c>
      <c r="CZ50" s="3" t="str">
        <f t="shared" si="213"/>
        <v/>
      </c>
      <c r="DA50" s="3" t="str">
        <f t="shared" si="214"/>
        <v/>
      </c>
      <c r="DB50" s="3" t="str">
        <f t="shared" si="215"/>
        <v/>
      </c>
      <c r="DC50" s="3" t="str">
        <f t="shared" si="216"/>
        <v/>
      </c>
      <c r="DD50" s="3" t="s">
        <v>0</v>
      </c>
      <c r="DZ50" s="3" t="str">
        <f t="shared" si="174"/>
        <v xml:space="preserve">protected_cruiser = {
active = no
air_attack = 0
air_defence = 2
build_cost_ic = 2.35
build_cost_manpower = 0.29
build_time = 300
completion_size = 0.6
default_morale = 0.3
default_organisation = 30
fuel_consumption = 0.2
max_strength = 100
maximum_speed = 16.9
officers = 29
on_completion = cruiser_practical
priority = 6
radio_strength = 1
repair_cost_multiplier = 0.05
sprite = LightCruiser
supply_consumption = 0.15
type = naval
hull = 0.15
transport_capability = 0
range = 2575
distance = 0.11
surface_detection = 2
air_detection = 2
sub_detection = 1
visibility = 60
sea_defence = 7.5
convoy_attack = 3
sea_attack = 1.45
sub_attack = 0.75
shore_bombardment = 1
}
</v>
      </c>
    </row>
    <row r="51" spans="1:130" x14ac:dyDescent="0.25">
      <c r="AN51" s="2" t="s">
        <v>62</v>
      </c>
      <c r="AO51" s="2" t="s">
        <v>62</v>
      </c>
      <c r="AP51" s="2" t="s">
        <v>62</v>
      </c>
      <c r="AQ51" s="2" t="s">
        <v>62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1" sqref="D21"/>
    </sheetView>
  </sheetViews>
  <sheetFormatPr defaultRowHeight="15.75" x14ac:dyDescent="0.25"/>
  <sheetData>
    <row r="2" spans="2:3" x14ac:dyDescent="0.25">
      <c r="B2">
        <v>1</v>
      </c>
      <c r="C2" t="s">
        <v>329</v>
      </c>
    </row>
    <row r="3" spans="2:3" x14ac:dyDescent="0.25">
      <c r="B3">
        <v>2</v>
      </c>
      <c r="C3" t="s">
        <v>330</v>
      </c>
    </row>
    <row r="4" spans="2:3" x14ac:dyDescent="0.25">
      <c r="B4">
        <v>3</v>
      </c>
      <c r="C4" t="s">
        <v>331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2013-12-09T00:32:28Z</dcterms:modified>
</cp:coreProperties>
</file>
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5475" yWindow="1995" windowWidth="29040" windowHeight="18240" tabRatio="500"/>
  </bookViews>
  <sheets>
    <sheet name="Data" sheetId="11" r:id="rId1"/>
    <sheet name="Instructions" sheetId="17" r:id="rId2"/>
  </sheets>
  <functionGroups builtInGroupCount="17"/>
  <calcPr calcId="145621" calcMode="manual" iterateDelta="1E-4"/>
</workbook>
</file>

<file path=xl/calcChain.xml><?xml version="1.0" encoding="utf-8"?>
<calcChain xmlns="http://schemas.openxmlformats.org/spreadsheetml/2006/main">
  <c r="AK37" i="11" l="1"/>
  <c r="AK38" i="11"/>
  <c r="AK39" i="11"/>
  <c r="AK40" i="11"/>
  <c r="AK41" i="11"/>
  <c r="AK42" i="11"/>
  <c r="AK43" i="11"/>
  <c r="AK44" i="11"/>
  <c r="AK45" i="11"/>
  <c r="AK46" i="11"/>
  <c r="AK47" i="11"/>
  <c r="AK36" i="11"/>
  <c r="CT33" i="11" l="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2" i="11"/>
  <c r="CS32" i="11"/>
  <c r="CR32" i="11"/>
  <c r="CQ32" i="11"/>
  <c r="CP32" i="11"/>
  <c r="CO32" i="11"/>
  <c r="CN32" i="11"/>
  <c r="CM32" i="11"/>
  <c r="CL32" i="11"/>
  <c r="CK32" i="11"/>
  <c r="CJ32" i="11"/>
  <c r="CI32" i="11"/>
  <c r="CH32" i="11"/>
  <c r="CG32" i="11"/>
  <c r="CF32" i="11"/>
  <c r="CE32" i="11"/>
  <c r="CD32" i="11"/>
  <c r="CC32" i="11"/>
  <c r="CB32" i="11"/>
  <c r="CA32" i="11"/>
  <c r="BZ32" i="11"/>
  <c r="BY32" i="11"/>
  <c r="BX32" i="11"/>
  <c r="BW32" i="11"/>
  <c r="BV32" i="11"/>
  <c r="BU32" i="11"/>
  <c r="BT32" i="11"/>
  <c r="BS32" i="11"/>
  <c r="BR32" i="11"/>
  <c r="BQ32" i="11"/>
  <c r="BP32" i="11"/>
  <c r="BO32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DC36" i="11"/>
  <c r="DB36" i="11"/>
  <c r="DA36" i="11"/>
  <c r="CZ36" i="11"/>
  <c r="CY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I36" i="11"/>
  <c r="CH36" i="11"/>
  <c r="CG36" i="11"/>
  <c r="CF36" i="11"/>
  <c r="CE36" i="11"/>
  <c r="CD36" i="11"/>
  <c r="CC36" i="11"/>
  <c r="CB36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47" i="11"/>
  <c r="BN46" i="11"/>
  <c r="BN45" i="11"/>
  <c r="BN44" i="11"/>
  <c r="BN43" i="11"/>
  <c r="BN42" i="11"/>
  <c r="BN41" i="11"/>
  <c r="BN40" i="11"/>
  <c r="BN39" i="11"/>
  <c r="BN38" i="11"/>
  <c r="BN37" i="11"/>
  <c r="BN36" i="11"/>
  <c r="BN33" i="11"/>
  <c r="BN32" i="11"/>
  <c r="BN31" i="11"/>
  <c r="BN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5" i="11"/>
  <c r="DZ24" i="11"/>
  <c r="DZ16" i="11"/>
  <c r="DZ7" i="11"/>
  <c r="DZ12" i="11"/>
  <c r="DZ6" i="11"/>
  <c r="DZ8" i="11"/>
  <c r="DZ4" i="11"/>
  <c r="DZ20" i="11"/>
  <c r="DZ3" i="11"/>
  <c r="DZ22" i="11"/>
  <c r="DZ2" i="11"/>
  <c r="DZ26" i="11"/>
  <c r="DZ9" i="11"/>
  <c r="DZ25" i="11"/>
  <c r="DZ18" i="11"/>
  <c r="DZ17" i="11"/>
  <c r="DZ15" i="11"/>
  <c r="DZ11" i="11"/>
  <c r="DZ10" i="11"/>
  <c r="DZ13" i="11"/>
  <c r="DZ19" i="11"/>
  <c r="DZ21" i="11"/>
  <c r="DZ23" i="11"/>
  <c r="DZ14" i="11"/>
  <c r="DZ27" i="11"/>
  <c r="DZ46" i="11"/>
  <c r="DZ42" i="11"/>
  <c r="DZ38" i="11"/>
  <c r="DZ40" i="11"/>
  <c r="DZ41" i="11"/>
  <c r="DZ37" i="11"/>
  <c r="DZ47" i="11"/>
  <c r="DZ43" i="11"/>
  <c r="DZ39" i="11"/>
  <c r="DZ44" i="11"/>
  <c r="DZ36" i="11"/>
  <c r="DZ45" i="11"/>
  <c r="DZ30" i="11"/>
  <c r="DZ33" i="11"/>
  <c r="DZ32" i="11"/>
  <c r="DZ31" i="11"/>
  <c r="A46" i="11" l="1"/>
  <c r="A2" i="11"/>
  <c r="A15" i="11"/>
  <c r="A12" i="11"/>
  <c r="A23" i="11"/>
  <c r="A41" i="11"/>
  <c r="A13" i="11"/>
  <c r="A27" i="11"/>
  <c r="A42" i="11"/>
  <c r="A3" i="11"/>
  <c r="A14" i="11"/>
  <c r="A30" i="11"/>
  <c r="A43" i="11"/>
  <c r="A4" i="11"/>
  <c r="A47" i="11"/>
  <c r="A5" i="11"/>
  <c r="A32" i="11"/>
  <c r="A6" i="11"/>
  <c r="A20" i="11"/>
  <c r="A33" i="11"/>
  <c r="A7" i="11"/>
  <c r="A21" i="11"/>
  <c r="A39" i="11"/>
  <c r="A31" i="11"/>
  <c r="A19" i="11"/>
  <c r="A11" i="11"/>
  <c r="A22" i="11"/>
  <c r="A40" i="11"/>
  <c r="A8" i="11"/>
  <c r="A16" i="11"/>
  <c r="A24" i="11"/>
  <c r="A36" i="11"/>
  <c r="A44" i="11"/>
  <c r="A9" i="11"/>
  <c r="A17" i="11"/>
  <c r="A25" i="11"/>
  <c r="A37" i="11"/>
  <c r="A45" i="11"/>
  <c r="A10" i="11"/>
  <c r="A18" i="11"/>
  <c r="A26" i="11"/>
  <c r="A38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<sst xmlns="http://schemas.openxmlformats.org/spreadsheetml/2006/main" count="2005" uniqueCount="376">
  <si>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</si>
  <si>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</si>
  <si>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</si>
  <si>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</si>
  <si>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</si>
  <si>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</si>
  <si>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</si>
  <si>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</si>
  <si>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</si>
  <si>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</si>
  <si>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</si>
  <si>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</si>
  <si>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</si>
  <si>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</si>
  <si>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</si>
  <si>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</si>
  <si>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</si>
  <si>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</si>
  <si>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</si>
  <si>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</si>
  <si>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</si>
  <si>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</si>
  <si>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</si>
  <si>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</si>
  <si>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</si>
  <si>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</si>
  <si>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</si>
  <si>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</si>
  <si>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</si>
  <si>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</si>
  <si>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</si>
  <si>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</si>
  <si>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</si>
  <si>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</si>
  <si>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</si>
  <si>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</si>
  <si>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</si>
  <si>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</si>
  <si>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</si>
  <si>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</si>
  <si>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</si>
  <si>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</si>
  <si>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</si>
  <si>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</si>
  <si>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</si>
  <si>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</si>
  <si>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</si>
  <si>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</si>
  <si>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</si>
  <si>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</si>
  <si>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</si>
  <si>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</si>
  <si>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</si>
  <si>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</si>
  <si>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</si>
  <si>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</si>
  <si>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</si>
  <si>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</si>
  <si>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</si>
  <si>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</si>
  <si>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</si>
  <si>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</si>
  <si>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</si>
  <si>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</si>
  <si>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</si>
  <si>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</si>
  <si>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</si>
  <si>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</si>
  <si>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</si>
  <si>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</si>
  <si>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</si>
  <si>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</si>
  <si>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</si>
  <si>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</si>
  <si>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</si>
  <si>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</si>
  <si>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</si>
  <si>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</si>
  <si>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</si>
  <si>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</si>
  <si>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</si>
  <si>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</si>
  <si>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</si>
  <si>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</si>
  <si>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</si>
  <si>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</si>
  <si>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</si>
  <si>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</si>
  <si>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</si>
  <si>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</si>
  <si>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</si>
  <si>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</si>
  <si>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</si>
  <si>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</si>
  <si>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</si>
  <si>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</si>
  <si>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</si>
  <si>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</si>
  <si>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</si>
  <si>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</si>
  <si>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</si>
  <si>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</si>
  <si>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</si>
  <si>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</si>
  <si>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</si>
  <si>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</si>
  <si>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</si>
  <si>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</si>
  <si>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</si>
  <si>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</si>
  <si>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</si>
  <si>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</si>
  <si>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</si>
  <si>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</si>
  <si>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</si>
  <si>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</si>
  <si>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</si>
  <si>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</si>
  <si>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</si>
  <si>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</si>
  <si>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</si>
  <si>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</si>
  <si>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</si>
  <si>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</si>
  <si>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</si>
  <si>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</si>
  <si>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</si>
  <si>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</si>
  <si>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</si>
  <si>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</si>
  <si>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</si>
  <si>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</si>
  <si>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</si>
  <si>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</si>
  <si>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</si>
  <si>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</si>
  <si>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</si>
  <si>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</si>
  <si>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</si>
  <si>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</si>
  <si>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</si>
  <si>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</si>
  <si>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</si>
  <si>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</si>
  <si>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</si>
  <si>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</si>
  <si>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</si>
  <si>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</si>
  <si>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</si>
  <si>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</si>
  <si>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</si>
  <si>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</si>
  <si>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</si>
  <si>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</si>
  <si>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</si>
  <si>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</si>
  <si>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</si>
  <si>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</si>
  <si>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</si>
  <si>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</si>
  <si>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</si>
  <si>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</si>
  <si>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</si>
  <si>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</si>
  <si>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</si>
  <si>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</si>
  <si>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</si>
  <si>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</si>
  <si>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</si>
  <si>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</si>
  <si>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</si>
  <si>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</si>
  <si>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</si>
  <si>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</si>
  <si>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</si>
  <si>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</si>
  <si>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</si>
  <si>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</si>
  <si>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</si>
  <si>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</si>
  <si>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</si>
  <si>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</si>
  <si>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</si>
  <si>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</si>
  <si>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</si>
  <si>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</si>
  <si>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</si>
  <si>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</si>
  <si>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</si>
  <si>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</si>
  <si>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</si>
  <si>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</si>
  <si>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</si>
  <si>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</si>
  <si>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</si>
  <si>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</si>
  <si>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</si>
  <si>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</si>
  <si>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</si>
  <si>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</si>
  <si>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</si>
  <si>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</si>
  <si>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</si>
  <si>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</si>
  <si>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</si>
  <si>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</si>
  <si>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</si>
  <si>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</si>
  <si>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</si>
  <si>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</si>
  <si>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</si>
  <si>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</si>
  <si>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</si>
  <si>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</si>
  <si>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</si>
  <si>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</si>
  <si>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</si>
  <si>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</si>
  <si>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</si>
  <si>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</si>
  <si>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</si>
  <si>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</si>
  <si>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</si>
  <si>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</si>
  <si>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</si>
  <si>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</si>
  <si>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</si>
  <si>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</si>
  <si>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</si>
  <si>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</si>
  <si>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</si>
  <si>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</si>
  <si>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</si>
  <si>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</si>
  <si>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</si>
  <si>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</si>
  <si>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</si>
  <si>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</si>
  <si>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</si>
  <si>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</si>
  <si>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</si>
  <si>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</si>
  <si>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</si>
  <si>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</si>
  <si>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</si>
  <si>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</si>
  <si>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</si>
  <si>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</si>
  <si>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</si>
  <si>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</si>
  <si>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</si>
  <si>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</si>
  <si>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</si>
  <si>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</si>
  <si>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</si>
  <si>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</si>
  <si>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</si>
  <si>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</si>
  <si>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</si>
  <si>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</si>
  <si>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</si>
  <si>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</si>
  <si>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300</t>
  </si>
  <si>
    <t>30</t>
  </si>
  <si>
    <t>4.60</t>
  </si>
  <si>
    <t>airship_practical</t>
  </si>
  <si>
    <t>800.00</t>
  </si>
  <si>
    <t>Bomber</t>
  </si>
  <si>
    <t>air</t>
  </si>
  <si>
    <t>1.10</t>
  </si>
  <si>
    <t>180</t>
  </si>
  <si>
    <t>1.8</t>
  </si>
  <si>
    <t>1.70</t>
  </si>
  <si>
    <t>single_engine_aircraft_practical</t>
  </si>
  <si>
    <t>Fighter</t>
  </si>
  <si>
    <t>14.00</t>
  </si>
  <si>
    <t>2.0</t>
  </si>
  <si>
    <t>220</t>
  </si>
  <si>
    <t>3.45</t>
  </si>
  <si>
    <t>twin_engine_aircraft_practical</t>
  </si>
  <si>
    <t>400.00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</si>
  <si>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</si>
  <si>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</si>
  <si>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</si>
  <si>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</si>
  <si>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</si>
  <si>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</si>
  <si>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</si>
  <si>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</si>
  <si>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</si>
  <si>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</si>
  <si>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</si>
  <si>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</si>
  <si>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assault_ship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</si>
  <si>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</si>
  <si>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</si>
  <si>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</si>
  <si>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</si>
  <si>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</si>
  <si>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</si>
  <si>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</si>
  <si>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</si>
  <si>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</si>
  <si>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</si>
  <si>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</si>
  <si>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</si>
  <si>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</si>
  <si>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</si>
  <si>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</si>
  <si>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</si>
  <si>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</si>
  <si>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</si>
  <si>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</si>
  <si>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</si>
  <si>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</si>
  <si>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</si>
  <si>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</si>
  <si>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</si>
  <si>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1.25</t>
  </si>
  <si>
    <t>1.0</t>
  </si>
  <si>
    <t>0.25</t>
  </si>
  <si>
    <t>22</t>
  </si>
  <si>
    <t>transport_practical</t>
  </si>
  <si>
    <t>LSTLandingcraft</t>
  </si>
  <si>
    <t>naval</t>
  </si>
  <si>
    <t>60.00</t>
  </si>
  <si>
    <t>3500.00</t>
  </si>
  <si>
    <t>80.00</t>
  </si>
  <si>
    <t>0.92</t>
  </si>
  <si>
    <t>capitalship_practical</t>
  </si>
  <si>
    <t>Battlecruiser</t>
  </si>
  <si>
    <t>0.50</t>
  </si>
  <si>
    <t>2500.00</t>
  </si>
  <si>
    <t>12.00</t>
  </si>
  <si>
    <t>7.00</t>
  </si>
  <si>
    <t>1.15</t>
  </si>
  <si>
    <t>Battleship</t>
  </si>
  <si>
    <t>90.00</t>
  </si>
  <si>
    <t>7.50</t>
  </si>
  <si>
    <t>500</t>
  </si>
  <si>
    <t>3.4</t>
  </si>
  <si>
    <t>carrier_practical</t>
  </si>
  <si>
    <t>Carrier</t>
  </si>
  <si>
    <t>100.00</t>
  </si>
  <si>
    <t>4.50</t>
  </si>
  <si>
    <t>0.28</t>
  </si>
  <si>
    <t>destroyer_practical</t>
  </si>
  <si>
    <t>Destroyer</t>
  </si>
  <si>
    <t>1500.00</t>
  </si>
  <si>
    <t>50.00</t>
  </si>
  <si>
    <t>1.1</t>
  </si>
  <si>
    <t>2000.00</t>
  </si>
  <si>
    <t>0.58</t>
  </si>
  <si>
    <t>cruiser_practical</t>
  </si>
  <si>
    <t>HeavyCruiser</t>
  </si>
  <si>
    <t>0.40</t>
  </si>
  <si>
    <t>70.00</t>
  </si>
  <si>
    <t>LCTLandingcraft</t>
  </si>
  <si>
    <t>0.43</t>
  </si>
  <si>
    <t>LightCruiser</t>
  </si>
  <si>
    <t>0.36</t>
  </si>
  <si>
    <t>submarine_practical</t>
  </si>
  <si>
    <t>Submarine</t>
  </si>
  <si>
    <t>0.20</t>
  </si>
  <si>
    <t>0.35</t>
  </si>
  <si>
    <t>25</t>
  </si>
  <si>
    <t>22.00</t>
  </si>
  <si>
    <t>90</t>
  </si>
  <si>
    <t>20</t>
  </si>
  <si>
    <t>Transportship</t>
  </si>
  <si>
    <t>40.00</t>
  </si>
  <si>
    <t>3000.00</t>
  </si>
  <si>
    <t>{
armor_brigade = 0.25
light_armor_brigade = 0.25
armored_car_brigade = 0.25
}</t>
  </si>
  <si>
    <t>Make changes to the yellow cells on Data</t>
  </si>
  <si>
    <t>Press F9</t>
  </si>
  <si>
    <t>Press this button to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</si>
</sst>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12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43" fontId="0" fillId="2" borderId="0" xfId="729" applyNumberFormat="1" applyFont="1" applyFill="1"/>
  </cellXfs>
  <cellStyles count="730">
    <cellStyle name="Comma" xfId="729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61"/>
  <sheetViews>
    <sheetView tabSelected="1" zoomScale="70" zoomScaleNormal="70" workbookViewId="0">
      <pane xSplit="2" ySplit="1" topLeftCell="BI2" activePane="bottomRight" state="frozen"/>
      <selection pane="topRight" activeCell="D1" sqref="D1"/>
      <selection pane="bottomLeft" activeCell="A2" sqref="A2"/>
      <selection pane="bottomRight" activeCell="A27" sqref="A27"/>
    </sheetView>
  </sheetViews>
  <sheetFormatPr defaultColWidth="11" defaultRowHeight="15.75" x14ac:dyDescent="0.25"/>
  <cols>
    <col min="1" max="1" width="98.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20" width="11" style="2"/>
    <col min="21" max="21" width="17.125" style="2" customWidth="1"/>
    <col min="22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 ca="1">$A$1&amp;"units\"&amp;B2&amp;".txt"</f>
        <v>C:\Program Files (x86)\Paradox Interactive\Hearts of Iron III\tfh\mod\ww1tfh\units\Alpini_brigade.txt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0.10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0.10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5.00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5" t="s">
        <v>146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0.10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5" t="s">
        <v>146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0.25</v>
      </c>
      <c r="AF6" s="5">
        <v>20</v>
      </c>
      <c r="AG6" s="5" t="s">
        <v>158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 t="s">
        <v>131</v>
      </c>
      <c r="BC6" s="5" t="s">
        <v>161</v>
      </c>
      <c r="BD6" s="5" t="s">
        <v>162</v>
      </c>
      <c r="BE6" s="5">
        <v>3.87</v>
      </c>
      <c r="BF6" s="5">
        <v>0</v>
      </c>
      <c r="BG6" s="6">
        <v>2.8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0.33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0.25</v>
      </c>
      <c r="CR6" s="2" t="str">
        <f t="shared" si="29"/>
        <v>default_organisation = 20</v>
      </c>
      <c r="CS6" s="2" t="str">
        <f t="shared" si="30"/>
        <v>defensiveness = 3.50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2.33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2.8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0.25
default_organisation = 20
defensiveness = 3.50
fuel_consumption = 2
hard_attack = 2.33
is_armor = yes
is_mobile = yes
max_strength = 10
maximum_speed = 4
officers = 100
on_completion = armour_practical
priority = 10
radio_strength = 1
repair_cost_multiplier = 0.05
river = { attack = -0.05 }
soft_attack = 2.33
softness = 0.15
sprite = Tank
supply_consumption = 3.87
suppression = 0
toughness = 2.8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0.10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90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>active = no</v>
      </c>
      <c r="CE8" s="2" t="str">
        <f t="shared" si="16"/>
        <v>air_attack = 0.10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0.33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0.10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0.33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0.00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0.15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0.33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0.10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0.33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0.33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0.33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0.33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3</v>
      </c>
      <c r="W20" s="5" t="s">
        <v>62</v>
      </c>
      <c r="X20" s="5">
        <v>3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0.25</v>
      </c>
      <c r="AF20" s="5">
        <v>20</v>
      </c>
      <c r="AG20" s="5" t="s">
        <v>131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 t="s">
        <v>114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2.33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0.33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3</v>
      </c>
      <c r="CI20" s="2" t="str">
        <f t="shared" si="20"/>
        <v/>
      </c>
      <c r="CJ20" s="2" t="str">
        <f t="shared" si="21"/>
        <v>armor_value = 3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0.25</v>
      </c>
      <c r="CR20" s="2" t="str">
        <f t="shared" si="29"/>
        <v>default_organisation = 20</v>
      </c>
      <c r="CS20" s="2" t="str">
        <f t="shared" si="30"/>
        <v>defensiveness = 2.33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1.67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2.33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3
armor_value = 3
build_cost_ic = 8
build_cost_manpower = 0.78
build_time = 160
combat_width = 0
completion_size = 0.6
default_morale = 0.25
default_organisation = 20
defensiveness = 2.33
fuel_consumption = 1.5
hard_attack = 0.67
is_armor = yes
is_mobile = yes
max_strength = 10
maximum_speed = 5
officers = 100
on_completion = armour_practical
priority = 10
radio_strength = 1
repair_cost_multiplier = 0.05
river = { attack = -0.05 }
soft_attack = 1.67
softness = 0.30
sprite = Tank
supply_consumption = 3.1
suppression = 0.33
toughness = 2.33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0.33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0.00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0.00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0.00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0.33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0.33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/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2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0.10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/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2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combat_width = 0
completion_size = 0.5
default_morale = 0.25
default_organisation = 20
defensiveness = 1
fort = {
attack = 0.60
}
fuel_consumption = 0.00
hard_attack = 1.00
max_strength = 20
maximum_speed = 2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282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283</v>
      </c>
      <c r="P29" s="1" t="s">
        <v>284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285</v>
      </c>
      <c r="X29" s="1" t="s">
        <v>39</v>
      </c>
      <c r="Y29" s="1" t="s">
        <v>286</v>
      </c>
      <c r="Z29" s="1" t="s">
        <v>50</v>
      </c>
      <c r="AA29" s="1" t="s">
        <v>28</v>
      </c>
      <c r="AB29" s="1" t="s">
        <v>287</v>
      </c>
      <c r="AC29" s="1" t="s">
        <v>288</v>
      </c>
      <c r="AD29" s="1" t="s">
        <v>42</v>
      </c>
      <c r="AE29" s="1" t="s">
        <v>289</v>
      </c>
      <c r="AF29" s="1" t="s">
        <v>290</v>
      </c>
      <c r="AG29" s="1" t="s">
        <v>291</v>
      </c>
      <c r="AH29" s="1" t="s">
        <v>27</v>
      </c>
      <c r="AI29" s="1"/>
    </row>
    <row r="30" spans="1:130" s="3" customFormat="1" x14ac:dyDescent="0.25">
      <c r="A30" s="2" t="str">
        <f t="shared" ref="A30:A33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 t="s">
        <v>135</v>
      </c>
      <c r="G30" s="5">
        <v>14</v>
      </c>
      <c r="H30" s="5" t="s">
        <v>135</v>
      </c>
      <c r="I30" s="5" t="s">
        <v>262</v>
      </c>
      <c r="J30" s="9">
        <v>2</v>
      </c>
      <c r="K30" s="5" t="s">
        <v>241</v>
      </c>
      <c r="L30" s="5" t="s">
        <v>263</v>
      </c>
      <c r="M30" s="5" t="s">
        <v>264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265</v>
      </c>
      <c r="U30" s="5" t="s">
        <v>179</v>
      </c>
      <c r="V30" s="5" t="s">
        <v>102</v>
      </c>
      <c r="W30" s="5" t="s">
        <v>266</v>
      </c>
      <c r="X30" s="5" t="s">
        <v>113</v>
      </c>
      <c r="Y30" s="5" t="s">
        <v>106</v>
      </c>
      <c r="Z30" s="5" t="s">
        <v>115</v>
      </c>
      <c r="AA30" s="5" t="s">
        <v>267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268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3" si="67">IF(D30="","",D$29&amp;" = "&amp;D30)</f>
        <v>air_attack = 0.5</v>
      </c>
      <c r="BQ30" s="3" t="str">
        <f t="shared" ref="BQ30:BQ33" si="68">IF(E30="","",E$29&amp;" = "&amp;E30)</f>
        <v>air_defence = 3</v>
      </c>
      <c r="BR30" s="3" t="str">
        <f t="shared" ref="BR30:BR33" si="69">IF(F30="","",F$29&amp;" = "&amp;F30)</f>
        <v>air_detection = 2.00</v>
      </c>
      <c r="BS30" s="3" t="str">
        <f t="shared" ref="BS30:BS33" si="70">IF(G30="","",G$29&amp;" = "&amp;G30)</f>
        <v>build_cost_ic = 14</v>
      </c>
      <c r="BT30" s="3" t="str">
        <f t="shared" ref="BT30:BT33" si="71">IF(H30="","",H$29&amp;" = "&amp;H30)</f>
        <v>build_cost_manpower = 2.00</v>
      </c>
      <c r="BU30" s="3" t="str">
        <f t="shared" ref="BU30:BU33" si="72">IF(I30="","",I$29&amp;" = "&amp;I30)</f>
        <v>build_time = 300</v>
      </c>
      <c r="BV30" s="3" t="str">
        <f t="shared" ref="BV30:BV33" si="73">IF(J30="","",J$29&amp;" = "&amp;J30)</f>
        <v>completion_size = 2</v>
      </c>
      <c r="BW30" s="3" t="str">
        <f t="shared" ref="BW30:BW33" si="74">IF(K30="","",K$29&amp;" = "&amp;K30)</f>
        <v>default_morale = 0.30</v>
      </c>
      <c r="BX30" s="3" t="str">
        <f t="shared" ref="BX30:BX33" si="75">IF(L30="","",L$29&amp;" = "&amp;L30)</f>
        <v>default_organisation = 30</v>
      </c>
      <c r="BY30" s="3" t="str">
        <f t="shared" ref="BY30:BY33" si="76">IF(M30="","",M$29&amp;" = "&amp;M30)</f>
        <v>fuel_consumption = 4.60</v>
      </c>
      <c r="BZ30" s="3" t="str">
        <f t="shared" ref="BZ30:BZ33" si="77">IF(N30="","",N$29&amp;" = "&amp;N30)</f>
        <v>hard_attack = 0.00</v>
      </c>
      <c r="CA30" s="3" t="str">
        <f t="shared" ref="CA30:CA33" si="78">IF(O30="","",O$29&amp;" = "&amp;O30)</f>
        <v>is_bomber = yes</v>
      </c>
      <c r="CB30" s="3" t="str">
        <f t="shared" ref="CB30:CB33" si="79">IF(P30="","",P$29&amp;" = "&amp;P30)</f>
        <v/>
      </c>
      <c r="CC30" s="3" t="str">
        <f t="shared" ref="CC30:CC33" si="80">IF(Q30="","",Q$29&amp;" = "&amp;Q30)</f>
        <v>max_strength = 100</v>
      </c>
      <c r="CD30" s="3" t="str">
        <f t="shared" ref="CD30:CD33" si="81">IF(R30="","",R$29&amp;" = "&amp;R30)</f>
        <v>maximum_speed = 100</v>
      </c>
      <c r="CE30" s="3" t="str">
        <f t="shared" ref="CE30:CE33" si="82">IF(S30="","",S$29&amp;" = "&amp;S30)</f>
        <v>officers = 0</v>
      </c>
      <c r="CF30" s="3" t="str">
        <f t="shared" ref="CF30:CF33" si="83">IF(T30="","",T$29&amp;" = "&amp;T30)</f>
        <v>on_completion = airship_practical</v>
      </c>
      <c r="CG30" s="3" t="str">
        <f t="shared" ref="CG30:CG33" si="84">IF(U30="","",U$29&amp;" = "&amp;U30)</f>
        <v>priority = 4</v>
      </c>
      <c r="CH30" s="3" t="str">
        <f t="shared" ref="CH30:CH33" si="85">IF(V30="","",V$29&amp;" = "&amp;V30)</f>
        <v>radio_strength = 1</v>
      </c>
      <c r="CI30" s="3" t="str">
        <f t="shared" ref="CI30:CI33" si="86">IF(W30="","",W$29&amp;" = "&amp;W30)</f>
        <v>range = 800.00</v>
      </c>
      <c r="CJ30" s="3" t="str">
        <f t="shared" ref="CJ30:CJ33" si="87">IF(X30="","",X$29&amp;" = "&amp;X30)</f>
        <v>repair_cost_multiplier = 0.05</v>
      </c>
      <c r="CK30" s="3" t="str">
        <f t="shared" ref="CK30:CK33" si="88">IF(Y30="","",Y$29&amp;" = "&amp;Y30)</f>
        <v>sea_attack = 0.00</v>
      </c>
      <c r="CL30" s="3" t="str">
        <f t="shared" ref="CL30:CL33" si="89">IF(Z30="","",Z$29&amp;" = "&amp;Z30)</f>
        <v>soft_attack = 1.00</v>
      </c>
      <c r="CM30" s="3" t="str">
        <f t="shared" ref="CM30:CM33" si="90">IF(AA30="","",AA$29&amp;" = "&amp;AA30)</f>
        <v>sprite = Bomber</v>
      </c>
      <c r="CN30" s="3" t="str">
        <f t="shared" ref="CN30:CN33" si="91">IF(AB30="","",AB$29&amp;" = "&amp;AB30)</f>
        <v>strategic_attack = 2</v>
      </c>
      <c r="CO30" s="3" t="str">
        <f t="shared" ref="CO30:CO33" si="92">IF(AC30="","",AC$29&amp;" = "&amp;AC30)</f>
        <v>sub_attack = 0.00</v>
      </c>
      <c r="CP30" s="3" t="str">
        <f t="shared" ref="CP30:CP33" si="93">IF(AD30="","",AD$29&amp;" = "&amp;AD30)</f>
        <v>supply_consumption = 3.00</v>
      </c>
      <c r="CQ30" s="3" t="str">
        <f t="shared" ref="CQ30:CQ33" si="94">IF(AE30="","",AE$29&amp;" = "&amp;AE30)</f>
        <v>surface_defence = 8.00</v>
      </c>
      <c r="CR30" s="3" t="str">
        <f t="shared" ref="CR30:CR33" si="95">IF(AF30="","",AF$29&amp;" = "&amp;AF30)</f>
        <v>surface_detection = 2.00</v>
      </c>
      <c r="CS30" s="3" t="str">
        <f t="shared" ref="CS30:CS33" si="96">IF(AG30="","",AG$29&amp;" = "&amp;AG30)</f>
        <v>transport_capability = 3</v>
      </c>
      <c r="CT30" s="3" t="str">
        <f t="shared" ref="CT30:CT33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2.00
build_cost_ic = 14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1</v>
      </c>
      <c r="E31" s="6">
        <v>1.5</v>
      </c>
      <c r="F31" s="5" t="s">
        <v>135</v>
      </c>
      <c r="G31" s="5">
        <v>9</v>
      </c>
      <c r="H31" s="5" t="s">
        <v>269</v>
      </c>
      <c r="I31" s="5" t="s">
        <v>270</v>
      </c>
      <c r="J31" s="9" t="s">
        <v>271</v>
      </c>
      <c r="K31" s="5" t="s">
        <v>241</v>
      </c>
      <c r="L31" s="5" t="s">
        <v>263</v>
      </c>
      <c r="M31" s="5" t="s">
        <v>272</v>
      </c>
      <c r="N31" s="6">
        <v>1</v>
      </c>
      <c r="O31" s="5" t="s">
        <v>62</v>
      </c>
      <c r="P31" s="5" t="s">
        <v>159</v>
      </c>
      <c r="Q31" s="5" t="s">
        <v>137</v>
      </c>
      <c r="R31" s="6">
        <v>120</v>
      </c>
      <c r="S31" s="5" t="s">
        <v>133</v>
      </c>
      <c r="T31" s="5" t="s">
        <v>273</v>
      </c>
      <c r="U31" s="5" t="s">
        <v>146</v>
      </c>
      <c r="V31" s="5" t="s">
        <v>102</v>
      </c>
      <c r="W31" s="9">
        <v>300</v>
      </c>
      <c r="X31" s="5" t="s">
        <v>113</v>
      </c>
      <c r="Y31" s="6">
        <v>2</v>
      </c>
      <c r="Z31" s="5" t="s">
        <v>135</v>
      </c>
      <c r="AA31" s="5" t="s">
        <v>274</v>
      </c>
      <c r="AB31" s="6" t="s">
        <v>106</v>
      </c>
      <c r="AC31" s="6">
        <v>3</v>
      </c>
      <c r="AD31" s="5" t="s">
        <v>269</v>
      </c>
      <c r="AE31" s="5" t="s">
        <v>147</v>
      </c>
      <c r="AF31" s="5" t="s">
        <v>135</v>
      </c>
      <c r="AG31" s="5" t="s">
        <v>106</v>
      </c>
      <c r="AH31" s="5" t="s">
        <v>268</v>
      </c>
      <c r="BN31" s="3" t="str">
        <f>B31&amp;" = {"</f>
        <v>cag = {</v>
      </c>
      <c r="BO31" s="3" t="str">
        <f t="shared" ref="BO31:BO33" si="98">IF(C31="","",C$29&amp;" = "&amp;C31)</f>
        <v>active = no</v>
      </c>
      <c r="BP31" s="3" t="str">
        <f t="shared" si="67"/>
        <v>air_attack = 1</v>
      </c>
      <c r="BQ31" s="3" t="str">
        <f t="shared" si="68"/>
        <v>air_defence = 1.5</v>
      </c>
      <c r="BR31" s="3" t="str">
        <f t="shared" si="69"/>
        <v>air_detection = 2.00</v>
      </c>
      <c r="BS31" s="3" t="str">
        <f t="shared" si="70"/>
        <v>build_cost_ic = 9</v>
      </c>
      <c r="BT31" s="3" t="str">
        <f t="shared" si="71"/>
        <v>build_cost_manpower = 1.10</v>
      </c>
      <c r="BU31" s="3" t="str">
        <f t="shared" si="72"/>
        <v>build_time = 180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1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120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300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2.00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1
air_defence = 1.5
air_detection = 2.00
build_cost_ic = 9
build_cost_manpower = 1.10
build_time = 180
completion_size = 1.8
default_morale = 0.30
default_organisation = 30
fuel_consumption = 1.70
hard_attack = 1
is_cag = yes
max_strength = 100
maximum_speed = 120
officers = 0
on_completion = single_engine_aircraft_practical
priority = 5
radio_strength = 1
range = 300
repair_cost_multiplier = 0.05
sea_attack = 2
soft_attack = 2.00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III\tfh\mod\ww1tfh\units\interceptor.txt</v>
      </c>
      <c r="B32" s="8" t="s">
        <v>259</v>
      </c>
      <c r="C32" s="5" t="s">
        <v>90</v>
      </c>
      <c r="D32" s="6">
        <v>1</v>
      </c>
      <c r="E32" s="6">
        <v>2</v>
      </c>
      <c r="F32" s="5" t="s">
        <v>115</v>
      </c>
      <c r="G32" s="5">
        <v>12</v>
      </c>
      <c r="H32" s="5" t="s">
        <v>115</v>
      </c>
      <c r="I32" s="5" t="s">
        <v>210</v>
      </c>
      <c r="J32" s="9" t="s">
        <v>276</v>
      </c>
      <c r="K32" s="5" t="s">
        <v>241</v>
      </c>
      <c r="L32" s="5" t="s">
        <v>263</v>
      </c>
      <c r="M32" s="5" t="s">
        <v>272</v>
      </c>
      <c r="N32" s="6" t="s">
        <v>106</v>
      </c>
      <c r="O32" s="5" t="s">
        <v>62</v>
      </c>
      <c r="P32" s="5" t="s">
        <v>62</v>
      </c>
      <c r="Q32" s="5" t="s">
        <v>137</v>
      </c>
      <c r="R32" s="6">
        <v>120</v>
      </c>
      <c r="S32" s="5" t="s">
        <v>133</v>
      </c>
      <c r="T32" s="5" t="s">
        <v>273</v>
      </c>
      <c r="U32" s="5" t="s">
        <v>146</v>
      </c>
      <c r="V32" s="5" t="s">
        <v>102</v>
      </c>
      <c r="W32" s="9">
        <v>180</v>
      </c>
      <c r="X32" s="5" t="s">
        <v>113</v>
      </c>
      <c r="Y32" s="5" t="s">
        <v>106</v>
      </c>
      <c r="Z32" s="5" t="s">
        <v>115</v>
      </c>
      <c r="AA32" s="5" t="s">
        <v>274</v>
      </c>
      <c r="AB32" s="6" t="s">
        <v>106</v>
      </c>
      <c r="AC32" s="6" t="s">
        <v>106</v>
      </c>
      <c r="AD32" s="5" t="s">
        <v>141</v>
      </c>
      <c r="AE32" s="5" t="s">
        <v>106</v>
      </c>
      <c r="AF32" s="5" t="s">
        <v>115</v>
      </c>
      <c r="AG32" s="5" t="s">
        <v>106</v>
      </c>
      <c r="AH32" s="5" t="s">
        <v>268</v>
      </c>
      <c r="BN32" s="3" t="str">
        <f>B32&amp;" = {"</f>
        <v>interceptor = {</v>
      </c>
      <c r="BO32" s="3" t="str">
        <f t="shared" si="98"/>
        <v>active = no</v>
      </c>
      <c r="BP32" s="3" t="str">
        <f t="shared" si="67"/>
        <v>air_attack = 1</v>
      </c>
      <c r="BQ32" s="3" t="str">
        <f t="shared" si="68"/>
        <v>air_defence = 2</v>
      </c>
      <c r="BR32" s="3" t="str">
        <f t="shared" si="69"/>
        <v>air_detection = 1.00</v>
      </c>
      <c r="BS32" s="3" t="str">
        <f t="shared" si="70"/>
        <v>build_cost_ic = 12</v>
      </c>
      <c r="BT32" s="3" t="str">
        <f t="shared" si="71"/>
        <v>build_cost_manpower = 1.00</v>
      </c>
      <c r="BU32" s="3" t="str">
        <f t="shared" si="72"/>
        <v>build_time = 140</v>
      </c>
      <c r="BV32" s="3" t="str">
        <f t="shared" si="73"/>
        <v>completion_size = 2.0</v>
      </c>
      <c r="BW32" s="3" t="str">
        <f t="shared" si="74"/>
        <v>default_morale = 0.30</v>
      </c>
      <c r="BX32" s="3" t="str">
        <f t="shared" si="75"/>
        <v>default_organisation = 30</v>
      </c>
      <c r="BY32" s="3" t="str">
        <f t="shared" si="76"/>
        <v>fuel_consumption = 1.70</v>
      </c>
      <c r="BZ32" s="3" t="str">
        <f t="shared" si="77"/>
        <v>hard_attack = 0.00</v>
      </c>
      <c r="CA32" s="3" t="str">
        <f t="shared" si="78"/>
        <v/>
      </c>
      <c r="CB32" s="3" t="str">
        <f t="shared" si="79"/>
        <v/>
      </c>
      <c r="CC32" s="3" t="str">
        <f t="shared" si="80"/>
        <v>max_strength = 100</v>
      </c>
      <c r="CD32" s="3" t="str">
        <f t="shared" si="81"/>
        <v>maximum_speed = 120</v>
      </c>
      <c r="CE32" s="3" t="str">
        <f t="shared" si="82"/>
        <v>officers = 0</v>
      </c>
      <c r="CF32" s="3" t="str">
        <f t="shared" si="83"/>
        <v>on_completion = single_engine_aircraft_practical</v>
      </c>
      <c r="CG32" s="3" t="str">
        <f t="shared" si="84"/>
        <v>priority = 5</v>
      </c>
      <c r="CH32" s="3" t="str">
        <f t="shared" si="85"/>
        <v>radio_strength = 1</v>
      </c>
      <c r="CI32" s="3" t="str">
        <f t="shared" si="86"/>
        <v>range = 180</v>
      </c>
      <c r="CJ32" s="3" t="str">
        <f t="shared" si="87"/>
        <v>repair_cost_multiplier = 0.05</v>
      </c>
      <c r="CK32" s="3" t="str">
        <f t="shared" si="88"/>
        <v>sea_attack = 0.00</v>
      </c>
      <c r="CL32" s="3" t="str">
        <f t="shared" si="89"/>
        <v>soft_attack = 1.00</v>
      </c>
      <c r="CM32" s="3" t="str">
        <f t="shared" si="90"/>
        <v>sprite = Fighter</v>
      </c>
      <c r="CN32" s="3" t="str">
        <f t="shared" si="91"/>
        <v>strategic_attack = 0.00</v>
      </c>
      <c r="CO32" s="3" t="str">
        <f t="shared" si="92"/>
        <v>sub_attack = 0.00</v>
      </c>
      <c r="CP32" s="3" t="str">
        <f t="shared" si="93"/>
        <v>supply_consumption = 0.70</v>
      </c>
      <c r="CQ32" s="3" t="str">
        <f t="shared" si="94"/>
        <v>surface_defence = 0.00</v>
      </c>
      <c r="CR32" s="3" t="str">
        <f t="shared" si="95"/>
        <v>surface_detection = 1.00</v>
      </c>
      <c r="CS32" s="3" t="str">
        <f t="shared" si="96"/>
        <v>transport_capability = 0.00</v>
      </c>
      <c r="CT32" s="3" t="str">
        <f t="shared" si="97"/>
        <v>type = air</v>
      </c>
      <c r="CU32" s="3" t="s">
        <v>0</v>
      </c>
      <c r="DZ32" s="3" t="str">
        <f>concat_code(BN32:CU32)</f>
        <v xml:space="preserve">interceptor = {
active = no
air_attack = 1
air_defence = 2
air_detection = 1.00
build_cost_ic = 12
build_cost_manpower = 1.00
build_time = 140
completion_size = 2.0
default_morale = 0.30
default_organisation = 30
fuel_consumption = 1.70
hard_attack = 0.00
max_strength = 100
maximum_speed = 120
officers = 0
on_completion = single_engine_aircraft_practical
priority = 5
radio_strength = 1
range = 180
repair_cost_multiplier = 0.05
sea_attack = 0.00
soft_attack = 1.00
sprite = Fighter
strategic_attack = 0.00
sub_attack = 0.00
supply_consumption = 0.70
surface_defence = 0.00
surface_detection = 1.00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III\tfh\mod\ww1tfh\units\tactical_bomber.txt</v>
      </c>
      <c r="B33" s="8" t="s">
        <v>260</v>
      </c>
      <c r="C33" s="5" t="s">
        <v>90</v>
      </c>
      <c r="D33" s="6">
        <v>0</v>
      </c>
      <c r="E33" s="6">
        <v>1.3</v>
      </c>
      <c r="F33" s="5" t="s">
        <v>106</v>
      </c>
      <c r="G33" s="5">
        <v>14</v>
      </c>
      <c r="H33" s="5" t="s">
        <v>199</v>
      </c>
      <c r="I33" s="5" t="s">
        <v>277</v>
      </c>
      <c r="J33" s="9">
        <v>2.5</v>
      </c>
      <c r="K33" s="5" t="s">
        <v>241</v>
      </c>
      <c r="L33" s="5" t="s">
        <v>263</v>
      </c>
      <c r="M33" s="5" t="s">
        <v>278</v>
      </c>
      <c r="N33" s="6">
        <v>1</v>
      </c>
      <c r="O33" s="5" t="s">
        <v>159</v>
      </c>
      <c r="P33" s="5" t="s">
        <v>62</v>
      </c>
      <c r="Q33" s="5" t="s">
        <v>137</v>
      </c>
      <c r="R33" s="6">
        <v>100</v>
      </c>
      <c r="S33" s="5" t="s">
        <v>133</v>
      </c>
      <c r="T33" s="5" t="s">
        <v>279</v>
      </c>
      <c r="U33" s="5" t="s">
        <v>139</v>
      </c>
      <c r="V33" s="5" t="s">
        <v>102</v>
      </c>
      <c r="W33" s="10" t="s">
        <v>280</v>
      </c>
      <c r="X33" s="5" t="s">
        <v>113</v>
      </c>
      <c r="Y33" s="6">
        <v>0</v>
      </c>
      <c r="Z33" s="5">
        <v>3</v>
      </c>
      <c r="AA33" s="5" t="s">
        <v>281</v>
      </c>
      <c r="AB33" s="6">
        <v>0</v>
      </c>
      <c r="AC33" s="6">
        <v>1</v>
      </c>
      <c r="AD33" s="5" t="s">
        <v>135</v>
      </c>
      <c r="AE33" s="5" t="s">
        <v>158</v>
      </c>
      <c r="AF33" s="5" t="s">
        <v>135</v>
      </c>
      <c r="AG33" s="5" t="s">
        <v>106</v>
      </c>
      <c r="AH33" s="5" t="s">
        <v>268</v>
      </c>
      <c r="BN33" s="3" t="str">
        <f>B33&amp;" = {"</f>
        <v>tactical_bomber = {</v>
      </c>
      <c r="BO33" s="3" t="str">
        <f t="shared" si="98"/>
        <v>active = no</v>
      </c>
      <c r="BP33" s="3" t="str">
        <f t="shared" si="67"/>
        <v>air_attack = 0</v>
      </c>
      <c r="BQ33" s="3" t="str">
        <f t="shared" si="68"/>
        <v>air_defence = 1.3</v>
      </c>
      <c r="BR33" s="3" t="str">
        <f t="shared" si="69"/>
        <v>air_detection = 0.00</v>
      </c>
      <c r="BS33" s="3" t="str">
        <f t="shared" si="70"/>
        <v>build_cost_ic = 14</v>
      </c>
      <c r="BT33" s="3" t="str">
        <f t="shared" si="71"/>
        <v>build_cost_manpower = 1.60</v>
      </c>
      <c r="BU33" s="3" t="str">
        <f t="shared" si="72"/>
        <v>build_time = 220</v>
      </c>
      <c r="BV33" s="3" t="str">
        <f t="shared" si="73"/>
        <v>completion_size = 2.5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3.45</v>
      </c>
      <c r="BZ33" s="3" t="str">
        <f t="shared" si="77"/>
        <v>hard_attack = 1</v>
      </c>
      <c r="CA33" s="3" t="str">
        <f t="shared" si="78"/>
        <v>is_bomber = yes</v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100</v>
      </c>
      <c r="CE33" s="3" t="str">
        <f t="shared" si="82"/>
        <v>officers = 0</v>
      </c>
      <c r="CF33" s="3" t="str">
        <f t="shared" si="83"/>
        <v>on_completion = twin_engine_aircraft_practical</v>
      </c>
      <c r="CG33" s="3" t="str">
        <f t="shared" si="84"/>
        <v>priority = 3</v>
      </c>
      <c r="CH33" s="3" t="str">
        <f t="shared" si="85"/>
        <v>radio_strength = 1</v>
      </c>
      <c r="CI33" s="3" t="str">
        <f t="shared" si="86"/>
        <v>range = 400.00</v>
      </c>
      <c r="CJ33" s="3" t="str">
        <f t="shared" si="87"/>
        <v>repair_cost_multiplier = 0.05</v>
      </c>
      <c r="CK33" s="3" t="str">
        <f t="shared" si="88"/>
        <v>sea_attack = 0</v>
      </c>
      <c r="CL33" s="3" t="str">
        <f t="shared" si="89"/>
        <v>soft_attack = 3</v>
      </c>
      <c r="CM33" s="3" t="str">
        <f t="shared" si="90"/>
        <v>sprite = Tactical</v>
      </c>
      <c r="CN33" s="3" t="str">
        <f t="shared" si="91"/>
        <v>strategic_attack = 0</v>
      </c>
      <c r="CO33" s="3" t="str">
        <f t="shared" si="92"/>
        <v>sub_attack = 1</v>
      </c>
      <c r="CP33" s="3" t="str">
        <f t="shared" si="93"/>
        <v>supply_consumption = 2.00</v>
      </c>
      <c r="CQ33" s="3" t="str">
        <f t="shared" si="94"/>
        <v>surface_defence = 3.50</v>
      </c>
      <c r="CR33" s="3" t="str">
        <f t="shared" si="95"/>
        <v>surface_detection = 2.00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tactical_bomber = {
active = no
air_attack = 0
air_defence = 1.3
air_detection = 0.00
build_cost_ic = 14
build_cost_manpower = 1.60
build_time = 220
completion_size = 2.5
default_morale = 0.30
default_organisation = 30
fuel_consumption = 3.45
hard_attack = 1
is_bomber = yes
max_strength = 100
maximum_speed = 100
officers = 0
on_completion = twin_engine_aircraft_practical
priority = 3
radio_strength = 1
range = 400.00
repair_cost_multiplier = 0.05
sea_attack = 0
soft_attack = 3
sprite = Tactical
strategic_attack = 0
sub_attack = 1
supply_consumption = 2.00
surface_defence = 3.50
surface_detection = 2.00
transport_capability = 0.00
type = air
}
</v>
      </c>
    </row>
    <row r="35" spans="1:130" s="3" customFormat="1" x14ac:dyDescent="0.25">
      <c r="C35" s="1" t="s">
        <v>63</v>
      </c>
      <c r="D35" s="1" t="s">
        <v>52</v>
      </c>
      <c r="E35" s="1" t="s">
        <v>48</v>
      </c>
      <c r="F35" s="1" t="s">
        <v>36</v>
      </c>
      <c r="G35" s="1" t="s">
        <v>37</v>
      </c>
      <c r="H35" s="1" t="s">
        <v>38</v>
      </c>
      <c r="I35" s="1" t="s">
        <v>55</v>
      </c>
      <c r="J35" s="1" t="s">
        <v>34</v>
      </c>
      <c r="K35" s="1" t="s">
        <v>33</v>
      </c>
      <c r="L35" s="1" t="s">
        <v>43</v>
      </c>
      <c r="M35" s="1" t="s">
        <v>32</v>
      </c>
      <c r="N35" s="1" t="s">
        <v>40</v>
      </c>
      <c r="O35" s="1" t="s">
        <v>35</v>
      </c>
      <c r="P35" s="1" t="s">
        <v>56</v>
      </c>
      <c r="Q35" s="1" t="s">
        <v>57</v>
      </c>
      <c r="R35" s="1" t="s">
        <v>44</v>
      </c>
      <c r="S35" s="1" t="s">
        <v>39</v>
      </c>
      <c r="T35" s="1" t="s">
        <v>28</v>
      </c>
      <c r="U35" s="1" t="s">
        <v>42</v>
      </c>
      <c r="V35" s="1" t="s">
        <v>27</v>
      </c>
      <c r="W35" s="1" t="s">
        <v>303</v>
      </c>
      <c r="X35" s="1" t="s">
        <v>305</v>
      </c>
      <c r="Y35" s="1" t="s">
        <v>306</v>
      </c>
      <c r="Z35" s="1" t="s">
        <v>307</v>
      </c>
      <c r="AA35" s="1" t="s">
        <v>292</v>
      </c>
      <c r="AB35" s="1" t="s">
        <v>291</v>
      </c>
      <c r="AC35" s="1" t="s">
        <v>285</v>
      </c>
      <c r="AD35" s="1" t="s">
        <v>308</v>
      </c>
      <c r="AE35" s="1" t="s">
        <v>290</v>
      </c>
      <c r="AF35" s="1" t="s">
        <v>282</v>
      </c>
      <c r="AG35" s="1" t="s">
        <v>309</v>
      </c>
      <c r="AH35" s="1" t="s">
        <v>310</v>
      </c>
      <c r="AI35" s="1" t="s">
        <v>311</v>
      </c>
      <c r="AJ35" s="1" t="s">
        <v>312</v>
      </c>
      <c r="AK35" s="1" t="s">
        <v>286</v>
      </c>
      <c r="AL35" s="1" t="s">
        <v>288</v>
      </c>
      <c r="AM35" s="1" t="s">
        <v>313</v>
      </c>
      <c r="AN35" s="1" t="s">
        <v>314</v>
      </c>
      <c r="AO35" s="1" t="s">
        <v>315</v>
      </c>
      <c r="AP35" s="1" t="s">
        <v>316</v>
      </c>
      <c r="AQ35" s="1" t="s">
        <v>317</v>
      </c>
      <c r="AR35" s="1"/>
    </row>
    <row r="36" spans="1:130" s="3" customFormat="1" x14ac:dyDescent="0.25">
      <c r="A36" s="2" t="str">
        <f t="shared" ref="A36:A47" ca="1" si="99">$A$1&amp;"units\"&amp;B36&amp;".txt"</f>
        <v>C:\Program Files (x86)\Paradox Interactive\Hearts of Iron III\tfh\mod\ww1tfh\units\assault_ship.txt</v>
      </c>
      <c r="B36" s="3" t="s">
        <v>293</v>
      </c>
      <c r="C36" s="5" t="s">
        <v>90</v>
      </c>
      <c r="D36" s="6">
        <v>0</v>
      </c>
      <c r="E36" s="6">
        <v>1.5</v>
      </c>
      <c r="F36" s="5" t="s">
        <v>212</v>
      </c>
      <c r="G36" s="5" t="s">
        <v>318</v>
      </c>
      <c r="H36" s="5" t="s">
        <v>174</v>
      </c>
      <c r="I36" s="5" t="s">
        <v>319</v>
      </c>
      <c r="J36" s="5" t="s">
        <v>320</v>
      </c>
      <c r="K36" s="5" t="s">
        <v>321</v>
      </c>
      <c r="L36" s="5" t="s">
        <v>318</v>
      </c>
      <c r="M36" s="5" t="s">
        <v>137</v>
      </c>
      <c r="N36" s="6">
        <v>14.4</v>
      </c>
      <c r="O36" s="5" t="s">
        <v>133</v>
      </c>
      <c r="P36" s="5" t="s">
        <v>322</v>
      </c>
      <c r="Q36" s="5" t="s">
        <v>102</v>
      </c>
      <c r="R36" s="5" t="s">
        <v>102</v>
      </c>
      <c r="S36" s="5" t="s">
        <v>113</v>
      </c>
      <c r="T36" s="5" t="s">
        <v>323</v>
      </c>
      <c r="U36" s="5" t="s">
        <v>241</v>
      </c>
      <c r="V36" s="5" t="s">
        <v>324</v>
      </c>
      <c r="W36" s="5" t="s">
        <v>159</v>
      </c>
      <c r="X36" s="6">
        <v>0.6</v>
      </c>
      <c r="Y36" s="5">
        <v>0.5</v>
      </c>
      <c r="Z36" s="5" t="s">
        <v>320</v>
      </c>
      <c r="AA36" s="5" t="s">
        <v>372</v>
      </c>
      <c r="AB36" s="5" t="s">
        <v>325</v>
      </c>
      <c r="AC36" s="5" t="s">
        <v>326</v>
      </c>
      <c r="AD36" s="5">
        <v>0.1</v>
      </c>
      <c r="AE36" s="5" t="s">
        <v>106</v>
      </c>
      <c r="AF36" s="5" t="s">
        <v>106</v>
      </c>
      <c r="AG36" s="6">
        <v>0</v>
      </c>
      <c r="AH36" s="5" t="s">
        <v>327</v>
      </c>
      <c r="AI36" s="5" t="s">
        <v>147</v>
      </c>
      <c r="AJ36" s="5" t="s">
        <v>106</v>
      </c>
      <c r="AK36" s="11">
        <f>AK50*3/4</f>
        <v>0</v>
      </c>
      <c r="AL36" s="5" t="s">
        <v>106</v>
      </c>
      <c r="AM36" s="5" t="s">
        <v>106</v>
      </c>
      <c r="AN36" s="5" t="s">
        <v>62</v>
      </c>
      <c r="AO36" s="5" t="s">
        <v>62</v>
      </c>
      <c r="AP36" s="5" t="s">
        <v>62</v>
      </c>
      <c r="AQ36" s="5" t="s">
        <v>62</v>
      </c>
      <c r="BN36" s="3" t="str">
        <f t="shared" ref="BN36:BN45" si="100">B36&amp;" = {"</f>
        <v>assault_ship = {</v>
      </c>
      <c r="BO36" s="3" t="str">
        <f t="shared" ref="BO36:BO47" si="101">IF(C36="","",C$35&amp;" = "&amp;C36)</f>
        <v>active = no</v>
      </c>
      <c r="BP36" s="3" t="str">
        <f t="shared" ref="BP36:BP47" si="102">IF(D36="","",D$35&amp;" = "&amp;D36)</f>
        <v>air_attack = 0</v>
      </c>
      <c r="BQ36" s="3" t="str">
        <f t="shared" ref="BQ36:BQ47" si="103">IF(E36="","",E$35&amp;" = "&amp;E36)</f>
        <v>air_defence = 1.5</v>
      </c>
      <c r="BR36" s="3" t="str">
        <f t="shared" ref="BR36:BR47" si="104">IF(F36="","",F$35&amp;" = "&amp;F36)</f>
        <v>build_cost_ic = 8.00</v>
      </c>
      <c r="BS36" s="3" t="str">
        <f t="shared" ref="BS36:BS47" si="105">IF(G36="","",G$35&amp;" = "&amp;G36)</f>
        <v>build_cost_manpower = 1.25</v>
      </c>
      <c r="BT36" s="3" t="str">
        <f t="shared" ref="BT36:BT47" si="106">IF(H36="","",H$35&amp;" = "&amp;H36)</f>
        <v>build_time = 110</v>
      </c>
      <c r="BU36" s="3" t="str">
        <f t="shared" ref="BU36:BU47" si="107">IF(I36="","",I$35&amp;" = "&amp;I36)</f>
        <v>completion_size = 1.0</v>
      </c>
      <c r="BV36" s="3" t="str">
        <f t="shared" ref="BV36:BV47" si="108">IF(J36="","",J$35&amp;" = "&amp;J36)</f>
        <v>default_morale = 0.25</v>
      </c>
      <c r="BW36" s="3" t="str">
        <f t="shared" ref="BW36:BW47" si="109">IF(K36="","",K$35&amp;" = "&amp;K36)</f>
        <v>default_organisation = 22</v>
      </c>
      <c r="BX36" s="3" t="str">
        <f t="shared" ref="BX36:BX47" si="110">IF(L36="","",L$35&amp;" = "&amp;L36)</f>
        <v>fuel_consumption = 1.25</v>
      </c>
      <c r="BY36" s="3" t="str">
        <f t="shared" ref="BY36:BY47" si="111">IF(M36="","",M$35&amp;" = "&amp;M36)</f>
        <v>max_strength = 100</v>
      </c>
      <c r="BZ36" s="3" t="str">
        <f t="shared" ref="BZ36:BZ47" si="112">IF(N36="","",N$35&amp;" = "&amp;N36)</f>
        <v>maximum_speed = 14.4</v>
      </c>
      <c r="CA36" s="3" t="str">
        <f t="shared" ref="CA36:CA47" si="113">IF(O36="","",O$35&amp;" = "&amp;O36)</f>
        <v>officers = 0</v>
      </c>
      <c r="CB36" s="3" t="str">
        <f t="shared" ref="CB36:CB47" si="114">IF(P36="","",P$35&amp;" = "&amp;P36)</f>
        <v>on_completion = transport_practical</v>
      </c>
      <c r="CC36" s="3" t="str">
        <f t="shared" ref="CC36:CC47" si="115">IF(Q36="","",Q$35&amp;" = "&amp;Q36)</f>
        <v>priority = 1</v>
      </c>
      <c r="CD36" s="3" t="str">
        <f t="shared" ref="CD36:CD47" si="116">IF(R36="","",R$35&amp;" = "&amp;R36)</f>
        <v>radio_strength = 1</v>
      </c>
      <c r="CE36" s="3" t="str">
        <f t="shared" ref="CE36:CE47" si="117">IF(S36="","",S$35&amp;" = "&amp;S36)</f>
        <v>repair_cost_multiplier = 0.05</v>
      </c>
      <c r="CF36" s="3" t="str">
        <f t="shared" ref="CF36:CF47" si="118">IF(T36="","",T$35&amp;" = "&amp;T36)</f>
        <v>sprite = LSTLandingcraft</v>
      </c>
      <c r="CG36" s="3" t="str">
        <f t="shared" ref="CG36:CG47" si="119">IF(U36="","",U$35&amp;" = "&amp;U36)</f>
        <v>supply_consumption = 0.30</v>
      </c>
      <c r="CH36" s="3" t="str">
        <f t="shared" ref="CH36:CH47" si="120">IF(V36="","",V$35&amp;" = "&amp;V36)</f>
        <v>type = naval</v>
      </c>
      <c r="CI36" s="3" t="str">
        <f t="shared" ref="CI36:CI47" si="121">IF(W36="","",W$35&amp;" = "&amp;W36)</f>
        <v>transport = yes</v>
      </c>
      <c r="CJ36" s="3" t="str">
        <f t="shared" ref="CJ36:CJ47" si="122">IF(X36="","",X$35&amp;" = "&amp;X36)</f>
        <v>hull = 0.6</v>
      </c>
      <c r="CK36" s="3" t="str">
        <f t="shared" ref="CK36:CK47" si="123">IF(Y36="","",Y$35&amp;" = "&amp;Y36)</f>
        <v>amphibious_invasion_speed = 0.5</v>
      </c>
      <c r="CL36" s="3" t="str">
        <f t="shared" ref="CL36:CL47" si="124">IF(Z36="","",Z$35&amp;" = "&amp;Z36)</f>
        <v>amphibious_invasion_defence = 0.25</v>
      </c>
      <c r="CM36" s="3" t="str">
        <f t="shared" ref="CM36:CM47" si="125">IF(AA36="","",AA$35&amp;" = "&amp;AA36)</f>
        <v>extra_amphibious_defence = {
armor_brigade = 0.25
light_armor_brigade = 0.25
armored_car_brigade = 0.25
}</v>
      </c>
      <c r="CN36" s="3" t="str">
        <f t="shared" ref="CN36:CN47" si="126">IF(AB36="","",AB$35&amp;" = "&amp;AB36)</f>
        <v>transport_capability = 60.00</v>
      </c>
      <c r="CO36" s="3" t="str">
        <f t="shared" ref="CO36:CO47" si="127">IF(AC36="","",AC$35&amp;" = "&amp;AC36)</f>
        <v>range = 3500.00</v>
      </c>
      <c r="CP36" s="3" t="str">
        <f t="shared" ref="CP36:CP47" si="128">IF(AD36="","",AD$35&amp;" = "&amp;AD36)</f>
        <v>distance = 0.1</v>
      </c>
      <c r="CQ36" s="3" t="str">
        <f t="shared" ref="CQ36:CQ47" si="129">IF(AE36="","",AE$35&amp;" = "&amp;AE36)</f>
        <v>surface_detection = 0.00</v>
      </c>
      <c r="CR36" s="3" t="str">
        <f t="shared" ref="CR36:CR47" si="130">IF(AF36="","",AF$35&amp;" = "&amp;AF36)</f>
        <v>air_detection = 0.00</v>
      </c>
      <c r="CS36" s="3" t="str">
        <f t="shared" ref="CS36:CS47" si="131">IF(AG36="","",AG$35&amp;" = "&amp;AG36)</f>
        <v>sub_detection = 0</v>
      </c>
      <c r="CT36" s="3" t="str">
        <f t="shared" ref="CT36:CT47" si="132">IF(AH36="","",AH$35&amp;" = "&amp;AH36)</f>
        <v>visibility = 80.00</v>
      </c>
      <c r="CU36" s="3" t="str">
        <f t="shared" ref="CU36:CU47" si="133">IF(AI36="","",AI$35&amp;" = "&amp;AI36)</f>
        <v>sea_defence = 3.00</v>
      </c>
      <c r="CV36" s="3" t="str">
        <f t="shared" ref="CV36:CV47" si="134">IF(AJ36="","",AJ$35&amp;" = "&amp;AJ36)</f>
        <v>convoy_attack = 0.00</v>
      </c>
      <c r="CW36" s="3" t="str">
        <f t="shared" ref="CW36:CW47" si="135">IF(AK36="","",AK$35&amp;" = "&amp;AK36)</f>
        <v>sea_attack = 0</v>
      </c>
      <c r="CX36" s="3" t="str">
        <f t="shared" ref="CX36:CX47" si="136">IF(AL36="","",AL$35&amp;" = "&amp;AL36)</f>
        <v>sub_attack = 0.00</v>
      </c>
      <c r="CY36" s="3" t="str">
        <f t="shared" ref="CY36:CY47" si="137">IF(AM36="","",AM$35&amp;" = "&amp;AM36)</f>
        <v>shore_bombardment = 0.00</v>
      </c>
      <c r="CZ36" s="3" t="str">
        <f t="shared" ref="CZ36:CZ47" si="138">IF(AN36="","",AN$35&amp;" = "&amp;AN36)</f>
        <v/>
      </c>
      <c r="DA36" s="3" t="str">
        <f t="shared" ref="DA36:DA47" si="139">IF(AO36="","",AO$35&amp;" = "&amp;AO36)</f>
        <v/>
      </c>
      <c r="DB36" s="3" t="str">
        <f t="shared" ref="DB36:DB47" si="140">IF(AP36="","",AP$35&amp;" = "&amp;AP36)</f>
        <v/>
      </c>
      <c r="DC36" s="3" t="str">
        <f t="shared" ref="DC36:DC47" si="141">IF(AQ36="","",AQ$35&amp;" = "&amp;AQ36)</f>
        <v/>
      </c>
      <c r="DD36" s="3" t="s">
        <v>0</v>
      </c>
      <c r="DZ36" s="3" t="str">
        <f t="shared" ref="DZ36:DZ47" si="142">concat_code(BN36:DD36)</f>
        <v xml:space="preserve">assault_ship = {
active = no
air_attack = 0
air_defence = 1.5
build_cost_ic = 8.00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LSTLandingcraft
supply_consumption = 0.30
type = naval
transport = yes
hull = 0.6
amphibious_invasion_speed = 0.5
amphibious_invasion_defence = 0.25
extra_amphibious_defence = {
armor_brigade = 0.25
light_armor_brigade = 0.25
armored_car_brigade = 0.25
}
transport_capability = 60.00
range = 3500.00
distance = 0.1
surface_detection = 0.00
air_detection = 0.00
sub_detection = 0
visibility = 80.00
sea_defence = 3.00
convoy_attack = 0.00
sea_attack = 0
sub_attack = 0.00
shore_bombardment = 0.00
}
</v>
      </c>
    </row>
    <row r="37" spans="1:130" s="3" customFormat="1" x14ac:dyDescent="0.25">
      <c r="A37" s="2" t="str">
        <f t="shared" ca="1" si="99"/>
        <v>C:\Program Files (x86)\Paradox Interactive\Hearts of Iron III\tfh\mod\ww1tfh\units\battlecruiser.txt</v>
      </c>
      <c r="B37" s="3" t="s">
        <v>294</v>
      </c>
      <c r="C37" s="5" t="s">
        <v>90</v>
      </c>
      <c r="D37" s="6">
        <v>0</v>
      </c>
      <c r="E37" s="6">
        <v>2</v>
      </c>
      <c r="F37" s="5">
        <v>5.25</v>
      </c>
      <c r="G37" s="5" t="s">
        <v>135</v>
      </c>
      <c r="H37" s="5">
        <v>384</v>
      </c>
      <c r="I37" s="5">
        <v>1.8</v>
      </c>
      <c r="J37" s="5" t="s">
        <v>241</v>
      </c>
      <c r="K37" s="5" t="s">
        <v>263</v>
      </c>
      <c r="L37" s="5" t="s">
        <v>328</v>
      </c>
      <c r="M37" s="5" t="s">
        <v>137</v>
      </c>
      <c r="N37" s="6">
        <v>17</v>
      </c>
      <c r="O37" s="5" t="s">
        <v>133</v>
      </c>
      <c r="P37" s="5" t="s">
        <v>329</v>
      </c>
      <c r="Q37" s="5" t="s">
        <v>197</v>
      </c>
      <c r="R37" s="5" t="s">
        <v>102</v>
      </c>
      <c r="S37" s="5" t="s">
        <v>113</v>
      </c>
      <c r="T37" s="5" t="s">
        <v>330</v>
      </c>
      <c r="U37" s="5" t="s">
        <v>331</v>
      </c>
      <c r="V37" s="5" t="s">
        <v>324</v>
      </c>
      <c r="W37" s="5" t="s">
        <v>62</v>
      </c>
      <c r="X37" s="6">
        <v>0.78</v>
      </c>
      <c r="Y37" s="5" t="s">
        <v>62</v>
      </c>
      <c r="Z37" s="5" t="s">
        <v>62</v>
      </c>
      <c r="AA37" s="5" t="s">
        <v>62</v>
      </c>
      <c r="AB37" s="5" t="s">
        <v>106</v>
      </c>
      <c r="AC37" s="5" t="s">
        <v>332</v>
      </c>
      <c r="AD37" s="5">
        <v>0.18</v>
      </c>
      <c r="AE37" s="5" t="s">
        <v>115</v>
      </c>
      <c r="AF37" s="5" t="s">
        <v>115</v>
      </c>
      <c r="AG37" s="6">
        <v>0</v>
      </c>
      <c r="AH37" s="5" t="s">
        <v>327</v>
      </c>
      <c r="AI37" s="5" t="s">
        <v>129</v>
      </c>
      <c r="AJ37" s="5" t="s">
        <v>275</v>
      </c>
      <c r="AK37" s="11">
        <f t="shared" ref="AK37:AK47" si="143">AK51*3/4</f>
        <v>9</v>
      </c>
      <c r="AL37" s="5" t="s">
        <v>106</v>
      </c>
      <c r="AM37" s="5" t="s">
        <v>334</v>
      </c>
      <c r="AN37" s="5" t="s">
        <v>159</v>
      </c>
      <c r="AO37" s="5" t="s">
        <v>159</v>
      </c>
      <c r="AP37" s="5" t="s">
        <v>62</v>
      </c>
      <c r="AQ37" s="5" t="s">
        <v>62</v>
      </c>
      <c r="BN37" s="3" t="str">
        <f t="shared" si="100"/>
        <v>battlecruiser = {</v>
      </c>
      <c r="BO37" s="3" t="str">
        <f t="shared" si="101"/>
        <v>active = no</v>
      </c>
      <c r="BP37" s="3" t="str">
        <f t="shared" si="102"/>
        <v>air_attack = 0</v>
      </c>
      <c r="BQ37" s="3" t="str">
        <f t="shared" si="103"/>
        <v>air_defence = 2</v>
      </c>
      <c r="BR37" s="3" t="str">
        <f t="shared" si="104"/>
        <v>build_cost_ic = 5.25</v>
      </c>
      <c r="BS37" s="3" t="str">
        <f t="shared" si="105"/>
        <v>build_cost_manpower = 2.00</v>
      </c>
      <c r="BT37" s="3" t="str">
        <f t="shared" si="106"/>
        <v>build_time = 384</v>
      </c>
      <c r="BU37" s="3" t="str">
        <f t="shared" si="107"/>
        <v>completion_size = 1.8</v>
      </c>
      <c r="BV37" s="3" t="str">
        <f t="shared" si="108"/>
        <v>default_morale = 0.30</v>
      </c>
      <c r="BW37" s="3" t="str">
        <f t="shared" si="109"/>
        <v>default_organisation = 30</v>
      </c>
      <c r="BX37" s="3" t="str">
        <f t="shared" si="110"/>
        <v>fuel_consumption = 0.92</v>
      </c>
      <c r="BY37" s="3" t="str">
        <f t="shared" si="111"/>
        <v>max_strength = 100</v>
      </c>
      <c r="BZ37" s="3" t="str">
        <f t="shared" si="112"/>
        <v>maximum_speed = 17</v>
      </c>
      <c r="CA37" s="3" t="str">
        <f t="shared" si="113"/>
        <v>officers = 0</v>
      </c>
      <c r="CB37" s="3" t="str">
        <f t="shared" si="114"/>
        <v>on_completion = capitalship_practical</v>
      </c>
      <c r="CC37" s="3" t="str">
        <f t="shared" si="115"/>
        <v>priority = 8</v>
      </c>
      <c r="CD37" s="3" t="str">
        <f t="shared" si="116"/>
        <v>radio_strength = 1</v>
      </c>
      <c r="CE37" s="3" t="str">
        <f t="shared" si="117"/>
        <v>repair_cost_multiplier = 0.05</v>
      </c>
      <c r="CF37" s="3" t="str">
        <f t="shared" si="118"/>
        <v>sprite = Battlecruiser</v>
      </c>
      <c r="CG37" s="3" t="str">
        <f t="shared" si="119"/>
        <v>supply_consumption = 0.50</v>
      </c>
      <c r="CH37" s="3" t="str">
        <f t="shared" si="120"/>
        <v>type = naval</v>
      </c>
      <c r="CI37" s="3" t="str">
        <f t="shared" si="121"/>
        <v/>
      </c>
      <c r="CJ37" s="3" t="str">
        <f t="shared" si="122"/>
        <v>hull = 0.78</v>
      </c>
      <c r="CK37" s="3" t="str">
        <f t="shared" si="123"/>
        <v/>
      </c>
      <c r="CL37" s="3" t="str">
        <f t="shared" si="124"/>
        <v/>
      </c>
      <c r="CM37" s="3" t="str">
        <f t="shared" si="125"/>
        <v/>
      </c>
      <c r="CN37" s="3" t="str">
        <f t="shared" si="126"/>
        <v>transport_capability = 0.00</v>
      </c>
      <c r="CO37" s="3" t="str">
        <f t="shared" si="127"/>
        <v>range = 2500.00</v>
      </c>
      <c r="CP37" s="3" t="str">
        <f t="shared" si="128"/>
        <v>distance = 0.18</v>
      </c>
      <c r="CQ37" s="3" t="str">
        <f t="shared" si="129"/>
        <v>surface_detection = 1.00</v>
      </c>
      <c r="CR37" s="3" t="str">
        <f t="shared" si="130"/>
        <v>air_detection = 1.00</v>
      </c>
      <c r="CS37" s="3" t="str">
        <f t="shared" si="131"/>
        <v>sub_detection = 0</v>
      </c>
      <c r="CT37" s="3" t="str">
        <f t="shared" si="132"/>
        <v>visibility = 80.00</v>
      </c>
      <c r="CU37" s="3" t="str">
        <f t="shared" si="133"/>
        <v>sea_defence = 5.00</v>
      </c>
      <c r="CV37" s="3" t="str">
        <f t="shared" si="134"/>
        <v>convoy_attack = 14.00</v>
      </c>
      <c r="CW37" s="3" t="str">
        <f t="shared" si="135"/>
        <v>sea_attack = 9</v>
      </c>
      <c r="CX37" s="3" t="str">
        <f t="shared" si="136"/>
        <v>sub_attack = 0.00</v>
      </c>
      <c r="CY37" s="3" t="str">
        <f t="shared" si="137"/>
        <v>shore_bombardment = 7.00</v>
      </c>
      <c r="CZ37" s="3" t="str">
        <f t="shared" si="138"/>
        <v>capital = yes</v>
      </c>
      <c r="DA37" s="3" t="str">
        <f t="shared" si="139"/>
        <v>can_be_pride = yes</v>
      </c>
      <c r="DB37" s="3" t="str">
        <f t="shared" si="140"/>
        <v/>
      </c>
      <c r="DC37" s="3" t="str">
        <f t="shared" si="141"/>
        <v/>
      </c>
      <c r="DD37" s="3" t="s">
        <v>0</v>
      </c>
      <c r="DZ37" s="3" t="str">
        <f t="shared" si="142"/>
        <v xml:space="preserve">battlecruiser = {
active = no
air_attack = 0
air_defence = 2
build_cost_ic = 5.25
build_cost_manpower = 2.00
build_time = 384
completion_size = 1.8
default_morale = 0.30
default_organisation = 30
fuel_consumption = 0.92
max_strength = 100
maximum_speed = 17
officers = 0
on_completion = capitalship_practical
priority = 8
radio_strength = 1
repair_cost_multiplier = 0.05
sprite = Battlecruiser
supply_consumption = 0.50
type = naval
hull = 0.78
transport_capability = 0.00
range = 2500.00
distance = 0.18
surface_detection = 1.00
air_detection = 1.00
sub_detection = 0
visibility = 80.00
sea_defence = 5.00
convoy_attack = 14.00
sea_attack = 9
sub_attack = 0.00
shore_bombardment = 7.00
capital = yes
can_be_pride = yes
}
</v>
      </c>
    </row>
    <row r="38" spans="1:130" s="3" customFormat="1" x14ac:dyDescent="0.25">
      <c r="A38" s="2" t="str">
        <f t="shared" ca="1" si="99"/>
        <v>C:\Program Files (x86)\Paradox Interactive\Hearts of Iron III\tfh\mod\ww1tfh\units\battleship.txt</v>
      </c>
      <c r="B38" s="3" t="s">
        <v>295</v>
      </c>
      <c r="C38" s="5" t="s">
        <v>90</v>
      </c>
      <c r="D38" s="6">
        <v>0</v>
      </c>
      <c r="E38" s="6">
        <v>2</v>
      </c>
      <c r="F38" s="5">
        <v>5.25</v>
      </c>
      <c r="G38" s="5" t="s">
        <v>101</v>
      </c>
      <c r="H38" s="5">
        <v>468</v>
      </c>
      <c r="I38" s="5">
        <v>1.8</v>
      </c>
      <c r="J38" s="5" t="s">
        <v>241</v>
      </c>
      <c r="K38" s="5" t="s">
        <v>263</v>
      </c>
      <c r="L38" s="5" t="s">
        <v>335</v>
      </c>
      <c r="M38" s="5" t="s">
        <v>137</v>
      </c>
      <c r="N38" s="6">
        <v>14.4</v>
      </c>
      <c r="O38" s="5" t="s">
        <v>133</v>
      </c>
      <c r="P38" s="5" t="s">
        <v>329</v>
      </c>
      <c r="Q38" s="5" t="s">
        <v>112</v>
      </c>
      <c r="R38" s="5" t="s">
        <v>102</v>
      </c>
      <c r="S38" s="5" t="s">
        <v>113</v>
      </c>
      <c r="T38" s="5" t="s">
        <v>336</v>
      </c>
      <c r="U38" s="5" t="s">
        <v>141</v>
      </c>
      <c r="V38" s="5" t="s">
        <v>324</v>
      </c>
      <c r="W38" s="5" t="s">
        <v>62</v>
      </c>
      <c r="X38" s="6">
        <v>0.9</v>
      </c>
      <c r="Y38" s="5" t="s">
        <v>62</v>
      </c>
      <c r="Z38" s="5" t="s">
        <v>62</v>
      </c>
      <c r="AA38" s="5" t="s">
        <v>62</v>
      </c>
      <c r="AB38" s="5" t="s">
        <v>106</v>
      </c>
      <c r="AC38" s="5" t="s">
        <v>332</v>
      </c>
      <c r="AD38" s="5">
        <v>0.16</v>
      </c>
      <c r="AE38" s="5" t="s">
        <v>115</v>
      </c>
      <c r="AF38" s="5" t="s">
        <v>115</v>
      </c>
      <c r="AG38" s="6">
        <v>0</v>
      </c>
      <c r="AH38" s="5" t="s">
        <v>337</v>
      </c>
      <c r="AI38" s="5" t="s">
        <v>147</v>
      </c>
      <c r="AJ38" s="5" t="s">
        <v>333</v>
      </c>
      <c r="AK38" s="11">
        <f t="shared" si="143"/>
        <v>11.25</v>
      </c>
      <c r="AL38" s="5" t="s">
        <v>106</v>
      </c>
      <c r="AM38" s="5">
        <v>9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00"/>
        <v>battleship = {</v>
      </c>
      <c r="BO38" s="3" t="str">
        <f t="shared" si="101"/>
        <v>active = no</v>
      </c>
      <c r="BP38" s="3" t="str">
        <f t="shared" si="102"/>
        <v>air_attack = 0</v>
      </c>
      <c r="BQ38" s="3" t="str">
        <f t="shared" si="103"/>
        <v>air_defence = 2</v>
      </c>
      <c r="BR38" s="3" t="str">
        <f t="shared" si="104"/>
        <v>build_cost_ic = 5.25</v>
      </c>
      <c r="BS38" s="3" t="str">
        <f t="shared" si="105"/>
        <v>build_cost_manpower = 2.50</v>
      </c>
      <c r="BT38" s="3" t="str">
        <f t="shared" si="106"/>
        <v>build_time = 468</v>
      </c>
      <c r="BU38" s="3" t="str">
        <f t="shared" si="107"/>
        <v>completion_size = 1.8</v>
      </c>
      <c r="BV38" s="3" t="str">
        <f t="shared" si="108"/>
        <v>default_morale = 0.30</v>
      </c>
      <c r="BW38" s="3" t="str">
        <f t="shared" si="109"/>
        <v>default_organisation = 30</v>
      </c>
      <c r="BX38" s="3" t="str">
        <f t="shared" si="110"/>
        <v>fuel_consumption = 1.15</v>
      </c>
      <c r="BY38" s="3" t="str">
        <f t="shared" si="111"/>
        <v>max_strength = 100</v>
      </c>
      <c r="BZ38" s="3" t="str">
        <f t="shared" si="112"/>
        <v>maximum_speed = 14.4</v>
      </c>
      <c r="CA38" s="3" t="str">
        <f t="shared" si="113"/>
        <v>officers = 0</v>
      </c>
      <c r="CB38" s="3" t="str">
        <f t="shared" si="114"/>
        <v>on_completion = capitalship_practical</v>
      </c>
      <c r="CC38" s="3" t="str">
        <f t="shared" si="115"/>
        <v>priority = 9</v>
      </c>
      <c r="CD38" s="3" t="str">
        <f t="shared" si="116"/>
        <v>radio_strength = 1</v>
      </c>
      <c r="CE38" s="3" t="str">
        <f t="shared" si="117"/>
        <v>repair_cost_multiplier = 0.05</v>
      </c>
      <c r="CF38" s="3" t="str">
        <f t="shared" si="118"/>
        <v>sprite = Battleship</v>
      </c>
      <c r="CG38" s="3" t="str">
        <f t="shared" si="119"/>
        <v>supply_consumption = 0.70</v>
      </c>
      <c r="CH38" s="3" t="str">
        <f t="shared" si="120"/>
        <v>type = naval</v>
      </c>
      <c r="CI38" s="3" t="str">
        <f t="shared" si="121"/>
        <v/>
      </c>
      <c r="CJ38" s="3" t="str">
        <f t="shared" si="122"/>
        <v>hull = 0.9</v>
      </c>
      <c r="CK38" s="3" t="str">
        <f t="shared" si="123"/>
        <v/>
      </c>
      <c r="CL38" s="3" t="str">
        <f t="shared" si="124"/>
        <v/>
      </c>
      <c r="CM38" s="3" t="str">
        <f t="shared" si="125"/>
        <v/>
      </c>
      <c r="CN38" s="3" t="str">
        <f t="shared" si="126"/>
        <v>transport_capability = 0.00</v>
      </c>
      <c r="CO38" s="3" t="str">
        <f t="shared" si="127"/>
        <v>range = 2500.00</v>
      </c>
      <c r="CP38" s="3" t="str">
        <f t="shared" si="128"/>
        <v>distance = 0.16</v>
      </c>
      <c r="CQ38" s="3" t="str">
        <f t="shared" si="129"/>
        <v>surface_detection = 1.00</v>
      </c>
      <c r="CR38" s="3" t="str">
        <f t="shared" si="130"/>
        <v>air_detection = 1.00</v>
      </c>
      <c r="CS38" s="3" t="str">
        <f t="shared" si="131"/>
        <v>sub_detection = 0</v>
      </c>
      <c r="CT38" s="3" t="str">
        <f t="shared" si="132"/>
        <v>visibility = 90.00</v>
      </c>
      <c r="CU38" s="3" t="str">
        <f t="shared" si="133"/>
        <v>sea_defence = 3.00</v>
      </c>
      <c r="CV38" s="3" t="str">
        <f t="shared" si="134"/>
        <v>convoy_attack = 12.00</v>
      </c>
      <c r="CW38" s="3" t="str">
        <f t="shared" si="135"/>
        <v>sea_attack = 11.25</v>
      </c>
      <c r="CX38" s="3" t="str">
        <f t="shared" si="136"/>
        <v>sub_attack = 0.00</v>
      </c>
      <c r="CY38" s="3" t="str">
        <f t="shared" si="137"/>
        <v>shore_bombardment = 9</v>
      </c>
      <c r="CZ38" s="3" t="str">
        <f t="shared" si="138"/>
        <v>capital = yes</v>
      </c>
      <c r="DA38" s="3" t="str">
        <f t="shared" si="139"/>
        <v>can_be_pride = yes</v>
      </c>
      <c r="DB38" s="3" t="str">
        <f t="shared" si="140"/>
        <v/>
      </c>
      <c r="DC38" s="3" t="str">
        <f t="shared" si="141"/>
        <v/>
      </c>
      <c r="DD38" s="3" t="s">
        <v>0</v>
      </c>
      <c r="DZ38" s="3" t="str">
        <f t="shared" si="142"/>
        <v xml:space="preserve">battleship = {
active = no
air_attack = 0
air_defence = 2
build_cost_ic = 5.25
build_cost_manpower = 2.50
build_time = 468
completion_size = 1.8
default_morale = 0.30
default_organisation = 30
fuel_consumption = 1.15
max_strength = 100
maximum_speed = 14.4
officers = 0
on_completion = capitalship_practical
priority = 9
radio_strength = 1
repair_cost_multiplier = 0.05
sprite = Battleship
supply_consumption = 0.70
type = naval
hull = 0.9
transport_capability = 0.00
range = 2500.00
distance = 0.16
surface_detection = 1.00
air_detection = 1.00
sub_detection = 0
visibility = 90.00
sea_defence = 3.00
convoy_attack = 12.00
sea_attack = 11.25
sub_attack = 0.00
shore_bombardment = 9
capital = yes
can_be_pride = yes
}
</v>
      </c>
    </row>
    <row r="39" spans="1:130" s="3" customFormat="1" x14ac:dyDescent="0.25">
      <c r="A39" s="2" t="str">
        <f t="shared" ca="1" si="99"/>
        <v>C:\Program Files (x86)\Paradox Interactive\Hearts of Iron III\tfh\mod\ww1tfh\units\carrier.txt</v>
      </c>
      <c r="B39" s="3" t="s">
        <v>296</v>
      </c>
      <c r="C39" s="5" t="s">
        <v>90</v>
      </c>
      <c r="D39" s="6">
        <v>0</v>
      </c>
      <c r="E39" s="6">
        <v>1.5</v>
      </c>
      <c r="F39" s="5" t="s">
        <v>338</v>
      </c>
      <c r="G39" s="5" t="s">
        <v>101</v>
      </c>
      <c r="H39" s="5" t="s">
        <v>339</v>
      </c>
      <c r="I39" s="5" t="s">
        <v>340</v>
      </c>
      <c r="J39" s="5" t="s">
        <v>241</v>
      </c>
      <c r="K39" s="5" t="s">
        <v>263</v>
      </c>
      <c r="L39" s="5" t="s">
        <v>335</v>
      </c>
      <c r="M39" s="5" t="s">
        <v>137</v>
      </c>
      <c r="N39" s="6">
        <v>16</v>
      </c>
      <c r="O39" s="5" t="s">
        <v>133</v>
      </c>
      <c r="P39" s="5" t="s">
        <v>341</v>
      </c>
      <c r="Q39" s="5">
        <v>11</v>
      </c>
      <c r="R39" s="5" t="s">
        <v>318</v>
      </c>
      <c r="S39" s="5" t="s">
        <v>113</v>
      </c>
      <c r="T39" s="5" t="s">
        <v>342</v>
      </c>
      <c r="U39" s="5" t="s">
        <v>115</v>
      </c>
      <c r="V39" s="5" t="s">
        <v>324</v>
      </c>
      <c r="W39" s="5" t="s">
        <v>62</v>
      </c>
      <c r="X39" s="6">
        <v>0.6</v>
      </c>
      <c r="Y39" s="5" t="s">
        <v>62</v>
      </c>
      <c r="Z39" s="5" t="s">
        <v>62</v>
      </c>
      <c r="AA39" s="5" t="s">
        <v>62</v>
      </c>
      <c r="AB39" s="5" t="s">
        <v>106</v>
      </c>
      <c r="AC39" s="5" t="s">
        <v>332</v>
      </c>
      <c r="AD39" s="5">
        <v>1</v>
      </c>
      <c r="AE39" s="5" t="s">
        <v>115</v>
      </c>
      <c r="AF39" s="5" t="s">
        <v>135</v>
      </c>
      <c r="AG39" s="6">
        <v>0</v>
      </c>
      <c r="AH39" s="5" t="s">
        <v>343</v>
      </c>
      <c r="AI39" s="5" t="s">
        <v>147</v>
      </c>
      <c r="AJ39" s="5" t="s">
        <v>106</v>
      </c>
      <c r="AK39" s="11">
        <f t="shared" si="143"/>
        <v>0</v>
      </c>
      <c r="AL39" s="5" t="s">
        <v>106</v>
      </c>
      <c r="AM39" s="5" t="s">
        <v>106</v>
      </c>
      <c r="AN39" s="5" t="s">
        <v>159</v>
      </c>
      <c r="AO39" s="5" t="s">
        <v>62</v>
      </c>
      <c r="AP39" s="5">
        <v>3</v>
      </c>
      <c r="AQ39" s="5" t="s">
        <v>62</v>
      </c>
      <c r="BN39" s="3" t="str">
        <f t="shared" si="100"/>
        <v>carrier = {</v>
      </c>
      <c r="BO39" s="3" t="str">
        <f t="shared" si="101"/>
        <v>active = no</v>
      </c>
      <c r="BP39" s="3" t="str">
        <f t="shared" si="102"/>
        <v>air_attack = 0</v>
      </c>
      <c r="BQ39" s="3" t="str">
        <f t="shared" si="103"/>
        <v>air_defence = 1.5</v>
      </c>
      <c r="BR39" s="3" t="str">
        <f t="shared" si="104"/>
        <v>build_cost_ic = 7.50</v>
      </c>
      <c r="BS39" s="3" t="str">
        <f t="shared" si="105"/>
        <v>build_cost_manpower = 2.50</v>
      </c>
      <c r="BT39" s="3" t="str">
        <f t="shared" si="106"/>
        <v>build_time = 500</v>
      </c>
      <c r="BU39" s="3" t="str">
        <f t="shared" si="107"/>
        <v>completion_size = 3.4</v>
      </c>
      <c r="BV39" s="3" t="str">
        <f t="shared" si="108"/>
        <v>default_morale = 0.30</v>
      </c>
      <c r="BW39" s="3" t="str">
        <f t="shared" si="109"/>
        <v>default_organisation = 30</v>
      </c>
      <c r="BX39" s="3" t="str">
        <f t="shared" si="110"/>
        <v>fuel_consumption = 1.15</v>
      </c>
      <c r="BY39" s="3" t="str">
        <f t="shared" si="111"/>
        <v>max_strength = 100</v>
      </c>
      <c r="BZ39" s="3" t="str">
        <f t="shared" si="112"/>
        <v>maximum_speed = 16</v>
      </c>
      <c r="CA39" s="3" t="str">
        <f t="shared" si="113"/>
        <v>officers = 0</v>
      </c>
      <c r="CB39" s="3" t="str">
        <f t="shared" si="114"/>
        <v>on_completion = carrier_practical</v>
      </c>
      <c r="CC39" s="3" t="str">
        <f t="shared" si="115"/>
        <v>priority = 11</v>
      </c>
      <c r="CD39" s="3" t="str">
        <f t="shared" si="116"/>
        <v>radio_strength = 1.25</v>
      </c>
      <c r="CE39" s="3" t="str">
        <f t="shared" si="117"/>
        <v>repair_cost_multiplier = 0.05</v>
      </c>
      <c r="CF39" s="3" t="str">
        <f t="shared" si="118"/>
        <v>sprite = Carrier</v>
      </c>
      <c r="CG39" s="3" t="str">
        <f t="shared" si="119"/>
        <v>supply_consumption = 1.00</v>
      </c>
      <c r="CH39" s="3" t="str">
        <f t="shared" si="120"/>
        <v>type = naval</v>
      </c>
      <c r="CI39" s="3" t="str">
        <f t="shared" si="121"/>
        <v/>
      </c>
      <c r="CJ39" s="3" t="str">
        <f t="shared" si="122"/>
        <v>hull = 0.6</v>
      </c>
      <c r="CK39" s="3" t="str">
        <f t="shared" si="123"/>
        <v/>
      </c>
      <c r="CL39" s="3" t="str">
        <f t="shared" si="124"/>
        <v/>
      </c>
      <c r="CM39" s="3" t="str">
        <f t="shared" si="125"/>
        <v/>
      </c>
      <c r="CN39" s="3" t="str">
        <f t="shared" si="126"/>
        <v>transport_capability = 0.00</v>
      </c>
      <c r="CO39" s="3" t="str">
        <f t="shared" si="127"/>
        <v>range = 2500.00</v>
      </c>
      <c r="CP39" s="3" t="str">
        <f t="shared" si="128"/>
        <v>distance = 1</v>
      </c>
      <c r="CQ39" s="3" t="str">
        <f t="shared" si="129"/>
        <v>surface_detection = 1.00</v>
      </c>
      <c r="CR39" s="3" t="str">
        <f t="shared" si="130"/>
        <v>air_detection = 2.00</v>
      </c>
      <c r="CS39" s="3" t="str">
        <f t="shared" si="131"/>
        <v>sub_detection = 0</v>
      </c>
      <c r="CT39" s="3" t="str">
        <f t="shared" si="132"/>
        <v>visibility = 100.00</v>
      </c>
      <c r="CU39" s="3" t="str">
        <f t="shared" si="133"/>
        <v>sea_defence = 3.00</v>
      </c>
      <c r="CV39" s="3" t="str">
        <f t="shared" si="134"/>
        <v>convoy_attack = 0.00</v>
      </c>
      <c r="CW39" s="3" t="str">
        <f t="shared" si="135"/>
        <v>sea_attack = 0</v>
      </c>
      <c r="CX39" s="3" t="str">
        <f t="shared" si="136"/>
        <v>sub_attack = 0.00</v>
      </c>
      <c r="CY39" s="3" t="str">
        <f t="shared" si="137"/>
        <v>shore_bombardment = 0.00</v>
      </c>
      <c r="CZ39" s="3" t="str">
        <f t="shared" si="138"/>
        <v>capital = yes</v>
      </c>
      <c r="DA39" s="3" t="str">
        <f t="shared" si="139"/>
        <v/>
      </c>
      <c r="DB39" s="3" t="str">
        <f t="shared" si="140"/>
        <v>carrier_size = 3</v>
      </c>
      <c r="DC39" s="3" t="str">
        <f t="shared" si="141"/>
        <v/>
      </c>
      <c r="DD39" s="3" t="s">
        <v>0</v>
      </c>
      <c r="DZ39" s="3" t="str">
        <f t="shared" si="142"/>
        <v xml:space="preserve">carrier = {
active = no
air_attack = 0
air_defence = 1.5
build_cost_ic = 7.50
build_cost_manpower = 2.50
build_time = 500
completion_size = 3.4
default_morale = 0.30
default_organisation = 30
fuel_consumption = 1.15
max_strength = 100
maximum_speed = 16
officers = 0
on_completion = carrier_practical
priority = 11
radio_strength = 1.25
repair_cost_multiplier = 0.05
sprite = Carrier
supply_consumption = 1.00
type = naval
hull = 0.6
transport_capability = 0.00
range = 2500.00
distance = 1
surface_detection = 1.00
air_detection = 2.00
sub_detection = 0
visibility = 100.00
sea_defence = 3.00
convoy_attack = 0.00
sea_attack = 0
sub_attack = 0.00
shore_bombardment = 0.00
capital = yes
carrier_size = 3
}
</v>
      </c>
    </row>
    <row r="40" spans="1:130" s="3" customFormat="1" x14ac:dyDescent="0.25">
      <c r="A40" s="2" t="str">
        <f t="shared" ca="1" si="99"/>
        <v>C:\Program Files (x86)\Paradox Interactive\Hearts of Iron III\tfh\mod\ww1tfh\units\destroyer.txt</v>
      </c>
      <c r="B40" s="3" t="s">
        <v>297</v>
      </c>
      <c r="C40" s="5" t="s">
        <v>90</v>
      </c>
      <c r="D40" s="6">
        <v>1</v>
      </c>
      <c r="E40" s="6">
        <v>1.5</v>
      </c>
      <c r="F40" s="5">
        <v>3.15</v>
      </c>
      <c r="G40" s="5" t="s">
        <v>115</v>
      </c>
      <c r="H40" s="5">
        <v>160</v>
      </c>
      <c r="I40" s="5">
        <v>0.4</v>
      </c>
      <c r="J40" s="5" t="s">
        <v>241</v>
      </c>
      <c r="K40" s="5" t="s">
        <v>263</v>
      </c>
      <c r="L40" s="5" t="s">
        <v>345</v>
      </c>
      <c r="M40" s="5" t="s">
        <v>137</v>
      </c>
      <c r="N40" s="6">
        <v>20</v>
      </c>
      <c r="O40" s="5" t="s">
        <v>133</v>
      </c>
      <c r="P40" s="5" t="s">
        <v>346</v>
      </c>
      <c r="Q40" s="5" t="s">
        <v>179</v>
      </c>
      <c r="R40" s="5" t="s">
        <v>102</v>
      </c>
      <c r="S40" s="5" t="s">
        <v>113</v>
      </c>
      <c r="T40" s="5" t="s">
        <v>347</v>
      </c>
      <c r="U40" s="5" t="s">
        <v>320</v>
      </c>
      <c r="V40" s="5" t="s">
        <v>324</v>
      </c>
      <c r="W40" s="5" t="s">
        <v>62</v>
      </c>
      <c r="X40" s="6">
        <v>0.6</v>
      </c>
      <c r="Y40" s="5" t="s">
        <v>62</v>
      </c>
      <c r="Z40" s="5" t="s">
        <v>62</v>
      </c>
      <c r="AA40" s="5" t="s">
        <v>62</v>
      </c>
      <c r="AB40" s="5" t="s">
        <v>106</v>
      </c>
      <c r="AC40" s="5" t="s">
        <v>348</v>
      </c>
      <c r="AD40" s="5">
        <v>0.06</v>
      </c>
      <c r="AE40" s="5" t="s">
        <v>147</v>
      </c>
      <c r="AF40" s="5" t="s">
        <v>135</v>
      </c>
      <c r="AG40" s="6">
        <v>3</v>
      </c>
      <c r="AH40" s="5" t="s">
        <v>349</v>
      </c>
      <c r="AI40" s="5" t="s">
        <v>242</v>
      </c>
      <c r="AJ40" s="5" t="s">
        <v>135</v>
      </c>
      <c r="AK40" s="11">
        <f t="shared" si="143"/>
        <v>2.25</v>
      </c>
      <c r="AL40" s="6">
        <v>3</v>
      </c>
      <c r="AM40" s="5" t="s">
        <v>106</v>
      </c>
      <c r="AN40" s="5" t="s">
        <v>62</v>
      </c>
      <c r="AO40" s="5" t="s">
        <v>62</v>
      </c>
      <c r="AP40" s="5" t="s">
        <v>62</v>
      </c>
      <c r="AQ40" s="5" t="s">
        <v>62</v>
      </c>
      <c r="BN40" s="3" t="str">
        <f t="shared" si="100"/>
        <v>destroyer = {</v>
      </c>
      <c r="BO40" s="3" t="str">
        <f t="shared" si="101"/>
        <v>active = no</v>
      </c>
      <c r="BP40" s="3" t="str">
        <f t="shared" si="102"/>
        <v>air_attack = 1</v>
      </c>
      <c r="BQ40" s="3" t="str">
        <f t="shared" si="103"/>
        <v>air_defence = 1.5</v>
      </c>
      <c r="BR40" s="3" t="str">
        <f t="shared" si="104"/>
        <v>build_cost_ic = 3.15</v>
      </c>
      <c r="BS40" s="3" t="str">
        <f t="shared" si="105"/>
        <v>build_cost_manpower = 1.00</v>
      </c>
      <c r="BT40" s="3" t="str">
        <f t="shared" si="106"/>
        <v>build_time = 160</v>
      </c>
      <c r="BU40" s="3" t="str">
        <f t="shared" si="107"/>
        <v>completion_size = 0.4</v>
      </c>
      <c r="BV40" s="3" t="str">
        <f t="shared" si="108"/>
        <v>default_morale = 0.30</v>
      </c>
      <c r="BW40" s="3" t="str">
        <f t="shared" si="109"/>
        <v>default_organisation = 30</v>
      </c>
      <c r="BX40" s="3" t="str">
        <f t="shared" si="110"/>
        <v>fuel_consumption = 0.28</v>
      </c>
      <c r="BY40" s="3" t="str">
        <f t="shared" si="111"/>
        <v>max_strength = 100</v>
      </c>
      <c r="BZ40" s="3" t="str">
        <f t="shared" si="112"/>
        <v>maximum_speed = 20</v>
      </c>
      <c r="CA40" s="3" t="str">
        <f t="shared" si="113"/>
        <v>officers = 0</v>
      </c>
      <c r="CB40" s="3" t="str">
        <f t="shared" si="114"/>
        <v>on_completion = destroyer_practical</v>
      </c>
      <c r="CC40" s="3" t="str">
        <f t="shared" si="115"/>
        <v>priority = 4</v>
      </c>
      <c r="CD40" s="3" t="str">
        <f t="shared" si="116"/>
        <v>radio_strength = 1</v>
      </c>
      <c r="CE40" s="3" t="str">
        <f t="shared" si="117"/>
        <v>repair_cost_multiplier = 0.05</v>
      </c>
      <c r="CF40" s="3" t="str">
        <f t="shared" si="118"/>
        <v>sprite = Destroyer</v>
      </c>
      <c r="CG40" s="3" t="str">
        <f t="shared" si="119"/>
        <v>supply_consumption = 0.25</v>
      </c>
      <c r="CH40" s="3" t="str">
        <f t="shared" si="120"/>
        <v>type = naval</v>
      </c>
      <c r="CI40" s="3" t="str">
        <f t="shared" si="121"/>
        <v/>
      </c>
      <c r="CJ40" s="3" t="str">
        <f t="shared" si="122"/>
        <v>hull = 0.6</v>
      </c>
      <c r="CK40" s="3" t="str">
        <f t="shared" si="123"/>
        <v/>
      </c>
      <c r="CL40" s="3" t="str">
        <f t="shared" si="124"/>
        <v/>
      </c>
      <c r="CM40" s="3" t="str">
        <f t="shared" si="125"/>
        <v/>
      </c>
      <c r="CN40" s="3" t="str">
        <f t="shared" si="126"/>
        <v>transport_capability = 0.00</v>
      </c>
      <c r="CO40" s="3" t="str">
        <f t="shared" si="127"/>
        <v>range = 1500.00</v>
      </c>
      <c r="CP40" s="3" t="str">
        <f t="shared" si="128"/>
        <v>distance = 0.06</v>
      </c>
      <c r="CQ40" s="3" t="str">
        <f t="shared" si="129"/>
        <v>surface_detection = 3.00</v>
      </c>
      <c r="CR40" s="3" t="str">
        <f t="shared" si="130"/>
        <v>air_detection = 2.00</v>
      </c>
      <c r="CS40" s="3" t="str">
        <f t="shared" si="131"/>
        <v>sub_detection = 3</v>
      </c>
      <c r="CT40" s="3" t="str">
        <f t="shared" si="132"/>
        <v>visibility = 50.00</v>
      </c>
      <c r="CU40" s="3" t="str">
        <f t="shared" si="133"/>
        <v>sea_defence = 15.00</v>
      </c>
      <c r="CV40" s="3" t="str">
        <f t="shared" si="134"/>
        <v>convoy_attack = 2.00</v>
      </c>
      <c r="CW40" s="3" t="str">
        <f t="shared" si="135"/>
        <v>sea_attack = 2.25</v>
      </c>
      <c r="CX40" s="3" t="str">
        <f t="shared" si="136"/>
        <v>sub_attack = 3</v>
      </c>
      <c r="CY40" s="3" t="str">
        <f t="shared" si="137"/>
        <v>shore_bombardment = 0.00</v>
      </c>
      <c r="CZ40" s="3" t="str">
        <f t="shared" si="138"/>
        <v/>
      </c>
      <c r="DA40" s="3" t="str">
        <f t="shared" si="139"/>
        <v/>
      </c>
      <c r="DB40" s="3" t="str">
        <f t="shared" si="140"/>
        <v/>
      </c>
      <c r="DC40" s="3" t="str">
        <f t="shared" si="141"/>
        <v/>
      </c>
      <c r="DD40" s="3" t="s">
        <v>0</v>
      </c>
      <c r="DZ40" s="3" t="str">
        <f t="shared" si="142"/>
        <v xml:space="preserve">destroyer = {
active = no
air_attack = 1
air_defence = 1.5
build_cost_ic = 3.15
build_cost_manpower = 1.00
build_time = 160
completion_size = 0.4
default_morale = 0.30
default_organisation = 30
fuel_consumption = 0.28
max_strength = 100
maximum_speed = 20
officers = 0
on_completion = destroyer_practical
priority = 4
radio_strength = 1
repair_cost_multiplier = 0.05
sprite = Destroyer
supply_consumption = 0.25
type = naval
hull = 0.6
transport_capability = 0.00
range = 1500.00
distance = 0.06
surface_detection = 3.00
air_detection = 2.00
sub_detection = 3
visibility = 50.00
sea_defence = 15.00
convoy_attack = 2.00
sea_attack = 2.25
sub_attack = 3
shore_bombardment = 0.00
}
</v>
      </c>
    </row>
    <row r="41" spans="1:130" s="3" customFormat="1" x14ac:dyDescent="0.25">
      <c r="A41" s="2" t="str">
        <f t="shared" ca="1" si="99"/>
        <v>C:\Program Files (x86)\Paradox Interactive\Hearts of Iron III\tfh\mod\ww1tfh\units\escort_carrier.txt</v>
      </c>
      <c r="B41" s="3" t="s">
        <v>298</v>
      </c>
      <c r="C41" s="5" t="s">
        <v>90</v>
      </c>
      <c r="D41" s="6">
        <v>0</v>
      </c>
      <c r="E41" s="6">
        <v>0.75</v>
      </c>
      <c r="F41" s="5" t="s">
        <v>344</v>
      </c>
      <c r="G41" s="5" t="s">
        <v>135</v>
      </c>
      <c r="H41" s="5">
        <v>180</v>
      </c>
      <c r="I41" s="5">
        <v>0.8</v>
      </c>
      <c r="J41" s="5" t="s">
        <v>241</v>
      </c>
      <c r="K41" s="5" t="s">
        <v>263</v>
      </c>
      <c r="L41" s="5" t="s">
        <v>328</v>
      </c>
      <c r="M41" s="5" t="s">
        <v>137</v>
      </c>
      <c r="N41" s="6">
        <v>14.4</v>
      </c>
      <c r="O41" s="5" t="s">
        <v>133</v>
      </c>
      <c r="P41" s="5" t="s">
        <v>341</v>
      </c>
      <c r="Q41" s="5" t="s">
        <v>232</v>
      </c>
      <c r="R41" s="5" t="s">
        <v>350</v>
      </c>
      <c r="S41" s="5" t="s">
        <v>113</v>
      </c>
      <c r="T41" s="5" t="s">
        <v>342</v>
      </c>
      <c r="U41" s="5" t="s">
        <v>115</v>
      </c>
      <c r="V41" s="5" t="s">
        <v>324</v>
      </c>
      <c r="W41" s="5" t="s">
        <v>62</v>
      </c>
      <c r="X41" s="6">
        <v>0.48</v>
      </c>
      <c r="Y41" s="5" t="s">
        <v>62</v>
      </c>
      <c r="Z41" s="5" t="s">
        <v>62</v>
      </c>
      <c r="AA41" s="5" t="s">
        <v>62</v>
      </c>
      <c r="AB41" s="5" t="s">
        <v>106</v>
      </c>
      <c r="AC41" s="5" t="s">
        <v>351</v>
      </c>
      <c r="AD41" s="5">
        <v>1</v>
      </c>
      <c r="AE41" s="5" t="s">
        <v>115</v>
      </c>
      <c r="AF41" s="5" t="s">
        <v>135</v>
      </c>
      <c r="AG41" s="6">
        <v>0</v>
      </c>
      <c r="AH41" s="5" t="s">
        <v>327</v>
      </c>
      <c r="AI41" s="5" t="s">
        <v>129</v>
      </c>
      <c r="AJ41" s="5" t="s">
        <v>106</v>
      </c>
      <c r="AK41" s="11">
        <f t="shared" si="143"/>
        <v>0</v>
      </c>
      <c r="AL41" s="5" t="s">
        <v>106</v>
      </c>
      <c r="AM41" s="5" t="s">
        <v>106</v>
      </c>
      <c r="AN41" s="5" t="s">
        <v>159</v>
      </c>
      <c r="AO41" s="5" t="s">
        <v>62</v>
      </c>
      <c r="AP41" s="5" t="s">
        <v>102</v>
      </c>
      <c r="AQ41" s="5" t="s">
        <v>62</v>
      </c>
      <c r="BN41" s="3" t="str">
        <f t="shared" si="100"/>
        <v>escort_carrier = {</v>
      </c>
      <c r="BO41" s="3" t="str">
        <f t="shared" si="101"/>
        <v>active = no</v>
      </c>
      <c r="BP41" s="3" t="str">
        <f t="shared" si="102"/>
        <v>air_attack = 0</v>
      </c>
      <c r="BQ41" s="3" t="str">
        <f t="shared" si="103"/>
        <v>air_defence = 0.75</v>
      </c>
      <c r="BR41" s="3" t="str">
        <f t="shared" si="104"/>
        <v>build_cost_ic = 4.50</v>
      </c>
      <c r="BS41" s="3" t="str">
        <f t="shared" si="105"/>
        <v>build_cost_manpower = 2.00</v>
      </c>
      <c r="BT41" s="3" t="str">
        <f t="shared" si="106"/>
        <v>build_time = 180</v>
      </c>
      <c r="BU41" s="3" t="str">
        <f t="shared" si="107"/>
        <v>completion_size = 0.8</v>
      </c>
      <c r="BV41" s="3" t="str">
        <f t="shared" si="108"/>
        <v>default_morale = 0.30</v>
      </c>
      <c r="BW41" s="3" t="str">
        <f t="shared" si="109"/>
        <v>default_organisation = 30</v>
      </c>
      <c r="BX41" s="3" t="str">
        <f t="shared" si="110"/>
        <v>fuel_consumption = 0.92</v>
      </c>
      <c r="BY41" s="3" t="str">
        <f t="shared" si="111"/>
        <v>max_strength = 100</v>
      </c>
      <c r="BZ41" s="3" t="str">
        <f t="shared" si="112"/>
        <v>maximum_speed = 14.4</v>
      </c>
      <c r="CA41" s="3" t="str">
        <f t="shared" si="113"/>
        <v>officers = 0</v>
      </c>
      <c r="CB41" s="3" t="str">
        <f t="shared" si="114"/>
        <v>on_completion = carrier_practical</v>
      </c>
      <c r="CC41" s="3" t="str">
        <f t="shared" si="115"/>
        <v>priority = 7</v>
      </c>
      <c r="CD41" s="3" t="str">
        <f t="shared" si="116"/>
        <v>radio_strength = 1.1</v>
      </c>
      <c r="CE41" s="3" t="str">
        <f t="shared" si="117"/>
        <v>repair_cost_multiplier = 0.05</v>
      </c>
      <c r="CF41" s="3" t="str">
        <f t="shared" si="118"/>
        <v>sprite = Carrier</v>
      </c>
      <c r="CG41" s="3" t="str">
        <f t="shared" si="119"/>
        <v>supply_consumption = 1.00</v>
      </c>
      <c r="CH41" s="3" t="str">
        <f t="shared" si="120"/>
        <v>type = naval</v>
      </c>
      <c r="CI41" s="3" t="str">
        <f t="shared" si="121"/>
        <v/>
      </c>
      <c r="CJ41" s="3" t="str">
        <f t="shared" si="122"/>
        <v>hull = 0.48</v>
      </c>
      <c r="CK41" s="3" t="str">
        <f t="shared" si="123"/>
        <v/>
      </c>
      <c r="CL41" s="3" t="str">
        <f t="shared" si="124"/>
        <v/>
      </c>
      <c r="CM41" s="3" t="str">
        <f t="shared" si="125"/>
        <v/>
      </c>
      <c r="CN41" s="3" t="str">
        <f t="shared" si="126"/>
        <v>transport_capability = 0.00</v>
      </c>
      <c r="CO41" s="3" t="str">
        <f t="shared" si="127"/>
        <v>range = 2000.00</v>
      </c>
      <c r="CP41" s="3" t="str">
        <f t="shared" si="128"/>
        <v>distance = 1</v>
      </c>
      <c r="CQ41" s="3" t="str">
        <f t="shared" si="129"/>
        <v>surface_detection = 1.00</v>
      </c>
      <c r="CR41" s="3" t="str">
        <f t="shared" si="130"/>
        <v>air_detection = 2.00</v>
      </c>
      <c r="CS41" s="3" t="str">
        <f t="shared" si="131"/>
        <v>sub_detection = 0</v>
      </c>
      <c r="CT41" s="3" t="str">
        <f t="shared" si="132"/>
        <v>visibility = 80.00</v>
      </c>
      <c r="CU41" s="3" t="str">
        <f t="shared" si="133"/>
        <v>sea_defence = 5.00</v>
      </c>
      <c r="CV41" s="3" t="str">
        <f t="shared" si="134"/>
        <v>convoy_attack = 0.00</v>
      </c>
      <c r="CW41" s="3" t="str">
        <f t="shared" si="135"/>
        <v>sea_attack = 0</v>
      </c>
      <c r="CX41" s="3" t="str">
        <f t="shared" si="136"/>
        <v>sub_attack = 0.00</v>
      </c>
      <c r="CY41" s="3" t="str">
        <f t="shared" si="137"/>
        <v>shore_bombardment = 0.00</v>
      </c>
      <c r="CZ41" s="3" t="str">
        <f t="shared" si="138"/>
        <v>capital = yes</v>
      </c>
      <c r="DA41" s="3" t="str">
        <f t="shared" si="139"/>
        <v/>
      </c>
      <c r="DB41" s="3" t="str">
        <f t="shared" si="140"/>
        <v>carrier_size = 1</v>
      </c>
      <c r="DC41" s="3" t="str">
        <f t="shared" si="141"/>
        <v/>
      </c>
      <c r="DD41" s="3" t="s">
        <v>0</v>
      </c>
      <c r="DZ41" s="3" t="str">
        <f t="shared" si="142"/>
        <v xml:space="preserve">escort_carrier = {
active = no
air_attack = 0
air_defence = 0.75
build_cost_ic = 4.50
build_cost_manpower = 2.00
build_time = 180
completion_size = 0.8
default_morale = 0.30
default_organisation = 30
fuel_consumption = 0.92
max_strength = 100
maximum_speed = 14.4
officers = 0
on_completion = carrier_practical
priority = 7
radio_strength = 1.1
repair_cost_multiplier = 0.05
sprite = Carrier
supply_consumption = 1.00
type = naval
hull = 0.48
transport_capability = 0.00
range = 2000.00
distance = 1
surface_detection = 1.00
air_detection = 2.00
sub_detection = 0
visibility = 80.00
sea_defence = 5.00
convoy_attack = 0.00
sea_attack = 0
sub_attack = 0.00
shore_bombardment = 0.00
capital = yes
carrier_size = 1
}
</v>
      </c>
    </row>
    <row r="42" spans="1:130" s="3" customFormat="1" x14ac:dyDescent="0.25">
      <c r="A42" s="2" t="str">
        <f t="shared" ca="1" si="99"/>
        <v>C:\Program Files (x86)\Paradox Interactive\Hearts of Iron III\tfh\mod\ww1tfh\units\heavy_cruiser.txt</v>
      </c>
      <c r="B42" s="3" t="s">
        <v>299</v>
      </c>
      <c r="C42" s="5" t="s">
        <v>90</v>
      </c>
      <c r="D42" s="6">
        <v>2</v>
      </c>
      <c r="E42" s="6">
        <v>2</v>
      </c>
      <c r="F42" s="5">
        <v>4.2</v>
      </c>
      <c r="G42" s="5" t="s">
        <v>145</v>
      </c>
      <c r="H42" s="5">
        <v>224</v>
      </c>
      <c r="I42" s="5">
        <v>0.8</v>
      </c>
      <c r="J42" s="5" t="s">
        <v>241</v>
      </c>
      <c r="K42" s="5" t="s">
        <v>263</v>
      </c>
      <c r="L42" s="5" t="s">
        <v>352</v>
      </c>
      <c r="M42" s="5" t="s">
        <v>137</v>
      </c>
      <c r="N42" s="6">
        <v>16</v>
      </c>
      <c r="O42" s="5" t="s">
        <v>133</v>
      </c>
      <c r="P42" s="5" t="s">
        <v>353</v>
      </c>
      <c r="Q42" s="5" t="s">
        <v>110</v>
      </c>
      <c r="R42" s="5" t="s">
        <v>102</v>
      </c>
      <c r="S42" s="5" t="s">
        <v>113</v>
      </c>
      <c r="T42" s="5" t="s">
        <v>354</v>
      </c>
      <c r="U42" s="5" t="s">
        <v>355</v>
      </c>
      <c r="V42" s="5" t="s">
        <v>324</v>
      </c>
      <c r="W42" s="5" t="s">
        <v>62</v>
      </c>
      <c r="X42" s="6">
        <v>0.66</v>
      </c>
      <c r="Y42" s="5" t="s">
        <v>62</v>
      </c>
      <c r="Z42" s="5" t="s">
        <v>62</v>
      </c>
      <c r="AA42" s="5" t="s">
        <v>62</v>
      </c>
      <c r="AB42" s="5" t="s">
        <v>106</v>
      </c>
      <c r="AC42" s="5" t="s">
        <v>332</v>
      </c>
      <c r="AD42" s="5">
        <v>0.12</v>
      </c>
      <c r="AE42" s="5" t="s">
        <v>115</v>
      </c>
      <c r="AF42" s="5" t="s">
        <v>115</v>
      </c>
      <c r="AG42" s="6">
        <v>1</v>
      </c>
      <c r="AH42" s="5" t="s">
        <v>356</v>
      </c>
      <c r="AI42" s="5" t="s">
        <v>212</v>
      </c>
      <c r="AJ42" s="5" t="s">
        <v>201</v>
      </c>
      <c r="AK42" s="11">
        <f t="shared" si="143"/>
        <v>6</v>
      </c>
      <c r="AL42" s="5" t="s">
        <v>115</v>
      </c>
      <c r="AM42" s="5" t="s">
        <v>147</v>
      </c>
      <c r="AN42" s="5" t="s">
        <v>159</v>
      </c>
      <c r="AO42" s="5" t="s">
        <v>62</v>
      </c>
      <c r="AP42" s="5" t="s">
        <v>62</v>
      </c>
      <c r="AQ42" s="5" t="s">
        <v>62</v>
      </c>
      <c r="BN42" s="3" t="str">
        <f t="shared" si="100"/>
        <v>heavy_cruiser = {</v>
      </c>
      <c r="BO42" s="3" t="str">
        <f t="shared" si="101"/>
        <v>active = no</v>
      </c>
      <c r="BP42" s="3" t="str">
        <f t="shared" si="102"/>
        <v>air_attack = 2</v>
      </c>
      <c r="BQ42" s="3" t="str">
        <f t="shared" si="103"/>
        <v>air_defence = 2</v>
      </c>
      <c r="BR42" s="3" t="str">
        <f t="shared" si="104"/>
        <v>build_cost_ic = 4.2</v>
      </c>
      <c r="BS42" s="3" t="str">
        <f t="shared" si="105"/>
        <v>build_cost_manpower = 1.50</v>
      </c>
      <c r="BT42" s="3" t="str">
        <f t="shared" si="106"/>
        <v>build_time = 224</v>
      </c>
      <c r="BU42" s="3" t="str">
        <f t="shared" si="107"/>
        <v>completion_size = 0.8</v>
      </c>
      <c r="BV42" s="3" t="str">
        <f t="shared" si="108"/>
        <v>default_morale = 0.30</v>
      </c>
      <c r="BW42" s="3" t="str">
        <f t="shared" si="109"/>
        <v>default_organisation = 30</v>
      </c>
      <c r="BX42" s="3" t="str">
        <f t="shared" si="110"/>
        <v>fuel_consumption = 0.58</v>
      </c>
      <c r="BY42" s="3" t="str">
        <f t="shared" si="111"/>
        <v>max_strength = 100</v>
      </c>
      <c r="BZ42" s="3" t="str">
        <f t="shared" si="112"/>
        <v>maximum_speed = 16</v>
      </c>
      <c r="CA42" s="3" t="str">
        <f t="shared" si="113"/>
        <v>officers = 0</v>
      </c>
      <c r="CB42" s="3" t="str">
        <f t="shared" si="114"/>
        <v>on_completion = cruiser_practical</v>
      </c>
      <c r="CC42" s="3" t="str">
        <f t="shared" si="115"/>
        <v>priority = 6</v>
      </c>
      <c r="CD42" s="3" t="str">
        <f t="shared" si="116"/>
        <v>radio_strength = 1</v>
      </c>
      <c r="CE42" s="3" t="str">
        <f t="shared" si="117"/>
        <v>repair_cost_multiplier = 0.05</v>
      </c>
      <c r="CF42" s="3" t="str">
        <f t="shared" si="118"/>
        <v>sprite = HeavyCruiser</v>
      </c>
      <c r="CG42" s="3" t="str">
        <f t="shared" si="119"/>
        <v>supply_consumption = 0.40</v>
      </c>
      <c r="CH42" s="3" t="str">
        <f t="shared" si="120"/>
        <v>type = naval</v>
      </c>
      <c r="CI42" s="3" t="str">
        <f t="shared" si="121"/>
        <v/>
      </c>
      <c r="CJ42" s="3" t="str">
        <f t="shared" si="122"/>
        <v>hull = 0.66</v>
      </c>
      <c r="CK42" s="3" t="str">
        <f t="shared" si="123"/>
        <v/>
      </c>
      <c r="CL42" s="3" t="str">
        <f t="shared" si="124"/>
        <v/>
      </c>
      <c r="CM42" s="3" t="str">
        <f t="shared" si="125"/>
        <v/>
      </c>
      <c r="CN42" s="3" t="str">
        <f t="shared" si="126"/>
        <v>transport_capability = 0.00</v>
      </c>
      <c r="CO42" s="3" t="str">
        <f t="shared" si="127"/>
        <v>range = 2500.00</v>
      </c>
      <c r="CP42" s="3" t="str">
        <f t="shared" si="128"/>
        <v>distance = 0.12</v>
      </c>
      <c r="CQ42" s="3" t="str">
        <f t="shared" si="129"/>
        <v>surface_detection = 1.00</v>
      </c>
      <c r="CR42" s="3" t="str">
        <f t="shared" si="130"/>
        <v>air_detection = 1.00</v>
      </c>
      <c r="CS42" s="3" t="str">
        <f t="shared" si="131"/>
        <v>sub_detection = 1</v>
      </c>
      <c r="CT42" s="3" t="str">
        <f t="shared" si="132"/>
        <v>visibility = 70.00</v>
      </c>
      <c r="CU42" s="3" t="str">
        <f t="shared" si="133"/>
        <v>sea_defence = 8.00</v>
      </c>
      <c r="CV42" s="3" t="str">
        <f t="shared" si="134"/>
        <v>convoy_attack = 6.00</v>
      </c>
      <c r="CW42" s="3" t="str">
        <f t="shared" si="135"/>
        <v>sea_attack = 6</v>
      </c>
      <c r="CX42" s="3" t="str">
        <f t="shared" si="136"/>
        <v>sub_attack = 1.00</v>
      </c>
      <c r="CY42" s="3" t="str">
        <f t="shared" si="137"/>
        <v>shore_bombardment = 3.00</v>
      </c>
      <c r="CZ42" s="3" t="str">
        <f t="shared" si="138"/>
        <v>capital = yes</v>
      </c>
      <c r="DA42" s="3" t="str">
        <f t="shared" si="139"/>
        <v/>
      </c>
      <c r="DB42" s="3" t="str">
        <f t="shared" si="140"/>
        <v/>
      </c>
      <c r="DC42" s="3" t="str">
        <f t="shared" si="141"/>
        <v/>
      </c>
      <c r="DD42" s="3" t="s">
        <v>0</v>
      </c>
      <c r="DZ42" s="3" t="str">
        <f t="shared" si="142"/>
        <v xml:space="preserve">heavy_cruiser = {
active = no
air_attack = 2
air_defence = 2
build_cost_ic = 4.2
build_cost_manpower = 1.50
build_time = 224
completion_size = 0.8
default_morale = 0.30
default_organisation = 30
fuel_consumption = 0.58
max_strength = 100
maximum_speed = 16
officers = 0
on_completion = cruiser_practical
priority = 6
radio_strength = 1
repair_cost_multiplier = 0.05
sprite = HeavyCruiser
supply_consumption = 0.40
type = naval
hull = 0.66
transport_capability = 0.00
range = 2500.00
distance = 0.12
surface_detection = 1.00
air_detection = 1.00
sub_detection = 1
visibility = 70.00
sea_defence = 8.00
convoy_attack = 6.00
sea_attack = 6
sub_attack = 1.00
shore_bombardment = 3.00
capital = yes
}
</v>
      </c>
    </row>
    <row r="43" spans="1:130" s="3" customFormat="1" x14ac:dyDescent="0.25">
      <c r="A43" s="2" t="str">
        <f t="shared" ca="1" si="99"/>
        <v>C:\Program Files (x86)\Paradox Interactive\Hearts of Iron III\tfh\mod\ww1tfh\units\invasion_transport_ship.txt</v>
      </c>
      <c r="B43" s="3" t="s">
        <v>300</v>
      </c>
      <c r="C43" s="5" t="s">
        <v>90</v>
      </c>
      <c r="D43" s="6">
        <v>0</v>
      </c>
      <c r="E43" s="6">
        <v>0.5</v>
      </c>
      <c r="F43" s="5" t="s">
        <v>201</v>
      </c>
      <c r="G43" s="5" t="s">
        <v>318</v>
      </c>
      <c r="H43" s="5" t="s">
        <v>174</v>
      </c>
      <c r="I43" s="5" t="s">
        <v>319</v>
      </c>
      <c r="J43" s="5" t="s">
        <v>320</v>
      </c>
      <c r="K43" s="5" t="s">
        <v>321</v>
      </c>
      <c r="L43" s="5" t="s">
        <v>318</v>
      </c>
      <c r="M43" s="5" t="s">
        <v>137</v>
      </c>
      <c r="N43" s="6">
        <v>14.4</v>
      </c>
      <c r="O43" s="5" t="s">
        <v>133</v>
      </c>
      <c r="P43" s="5" t="s">
        <v>322</v>
      </c>
      <c r="Q43" s="5" t="s">
        <v>102</v>
      </c>
      <c r="R43" s="5" t="s">
        <v>102</v>
      </c>
      <c r="S43" s="5" t="s">
        <v>113</v>
      </c>
      <c r="T43" s="5" t="s">
        <v>357</v>
      </c>
      <c r="U43" s="5" t="s">
        <v>241</v>
      </c>
      <c r="V43" s="5" t="s">
        <v>324</v>
      </c>
      <c r="W43" s="5" t="s">
        <v>159</v>
      </c>
      <c r="X43" s="6">
        <v>0.6</v>
      </c>
      <c r="Y43" s="5">
        <v>0.25</v>
      </c>
      <c r="Z43" s="5" t="s">
        <v>100</v>
      </c>
      <c r="AA43" s="5" t="s">
        <v>62</v>
      </c>
      <c r="AB43" s="5" t="s">
        <v>325</v>
      </c>
      <c r="AC43" s="5" t="s">
        <v>326</v>
      </c>
      <c r="AD43" s="5">
        <v>0.1</v>
      </c>
      <c r="AE43" s="5" t="s">
        <v>106</v>
      </c>
      <c r="AF43" s="5" t="s">
        <v>106</v>
      </c>
      <c r="AG43" s="6">
        <v>0</v>
      </c>
      <c r="AH43" s="5" t="s">
        <v>327</v>
      </c>
      <c r="AI43" s="5" t="s">
        <v>115</v>
      </c>
      <c r="AJ43" s="5" t="s">
        <v>106</v>
      </c>
      <c r="AK43" s="11">
        <f t="shared" si="143"/>
        <v>0</v>
      </c>
      <c r="AL43" s="5" t="s">
        <v>106</v>
      </c>
      <c r="AM43" s="5" t="s">
        <v>106</v>
      </c>
      <c r="AN43" s="5" t="s">
        <v>62</v>
      </c>
      <c r="AO43" s="5" t="s">
        <v>62</v>
      </c>
      <c r="AP43" s="5" t="s">
        <v>62</v>
      </c>
      <c r="AQ43" s="5" t="s">
        <v>62</v>
      </c>
      <c r="BN43" s="3" t="str">
        <f t="shared" si="100"/>
        <v>invasion_transport_ship = {</v>
      </c>
      <c r="BO43" s="3" t="str">
        <f t="shared" si="101"/>
        <v>active = no</v>
      </c>
      <c r="BP43" s="3" t="str">
        <f t="shared" si="102"/>
        <v>air_attack = 0</v>
      </c>
      <c r="BQ43" s="3" t="str">
        <f t="shared" si="103"/>
        <v>air_defence = 0.5</v>
      </c>
      <c r="BR43" s="3" t="str">
        <f t="shared" si="104"/>
        <v>build_cost_ic = 6.00</v>
      </c>
      <c r="BS43" s="3" t="str">
        <f t="shared" si="105"/>
        <v>build_cost_manpower = 1.25</v>
      </c>
      <c r="BT43" s="3" t="str">
        <f t="shared" si="106"/>
        <v>build_time = 110</v>
      </c>
      <c r="BU43" s="3" t="str">
        <f t="shared" si="107"/>
        <v>completion_size = 1.0</v>
      </c>
      <c r="BV43" s="3" t="str">
        <f t="shared" si="108"/>
        <v>default_morale = 0.25</v>
      </c>
      <c r="BW43" s="3" t="str">
        <f t="shared" si="109"/>
        <v>default_organisation = 22</v>
      </c>
      <c r="BX43" s="3" t="str">
        <f t="shared" si="110"/>
        <v>fuel_consumption = 1.25</v>
      </c>
      <c r="BY43" s="3" t="str">
        <f t="shared" si="111"/>
        <v>max_strength = 100</v>
      </c>
      <c r="BZ43" s="3" t="str">
        <f t="shared" si="112"/>
        <v>maximum_speed = 14.4</v>
      </c>
      <c r="CA43" s="3" t="str">
        <f t="shared" si="113"/>
        <v>officers = 0</v>
      </c>
      <c r="CB43" s="3" t="str">
        <f t="shared" si="114"/>
        <v>on_completion = transport_practical</v>
      </c>
      <c r="CC43" s="3" t="str">
        <f t="shared" si="115"/>
        <v>priority = 1</v>
      </c>
      <c r="CD43" s="3" t="str">
        <f t="shared" si="116"/>
        <v>radio_strength = 1</v>
      </c>
      <c r="CE43" s="3" t="str">
        <f t="shared" si="117"/>
        <v>repair_cost_multiplier = 0.05</v>
      </c>
      <c r="CF43" s="3" t="str">
        <f t="shared" si="118"/>
        <v>sprite = LCTLandingcraft</v>
      </c>
      <c r="CG43" s="3" t="str">
        <f t="shared" si="119"/>
        <v>supply_consumption = 0.30</v>
      </c>
      <c r="CH43" s="3" t="str">
        <f t="shared" si="120"/>
        <v>type = naval</v>
      </c>
      <c r="CI43" s="3" t="str">
        <f t="shared" si="121"/>
        <v>transport = yes</v>
      </c>
      <c r="CJ43" s="3" t="str">
        <f t="shared" si="122"/>
        <v>hull = 0.6</v>
      </c>
      <c r="CK43" s="3" t="str">
        <f t="shared" si="123"/>
        <v>amphibious_invasion_speed = 0.25</v>
      </c>
      <c r="CL43" s="3" t="str">
        <f t="shared" si="124"/>
        <v>amphibious_invasion_defence = 0.10</v>
      </c>
      <c r="CM43" s="3" t="str">
        <f t="shared" si="125"/>
        <v/>
      </c>
      <c r="CN43" s="3" t="str">
        <f t="shared" si="126"/>
        <v>transport_capability = 60.00</v>
      </c>
      <c r="CO43" s="3" t="str">
        <f t="shared" si="127"/>
        <v>range = 3500.00</v>
      </c>
      <c r="CP43" s="3" t="str">
        <f t="shared" si="128"/>
        <v>distance = 0.1</v>
      </c>
      <c r="CQ43" s="3" t="str">
        <f t="shared" si="129"/>
        <v>surface_detection = 0.00</v>
      </c>
      <c r="CR43" s="3" t="str">
        <f t="shared" si="130"/>
        <v>air_detection = 0.00</v>
      </c>
      <c r="CS43" s="3" t="str">
        <f t="shared" si="131"/>
        <v>sub_detection = 0</v>
      </c>
      <c r="CT43" s="3" t="str">
        <f t="shared" si="132"/>
        <v>visibility = 80.00</v>
      </c>
      <c r="CU43" s="3" t="str">
        <f t="shared" si="133"/>
        <v>sea_defence = 1.00</v>
      </c>
      <c r="CV43" s="3" t="str">
        <f t="shared" si="134"/>
        <v>convoy_attack = 0.00</v>
      </c>
      <c r="CW43" s="3" t="str">
        <f t="shared" si="135"/>
        <v>sea_attack = 0</v>
      </c>
      <c r="CX43" s="3" t="str">
        <f t="shared" si="136"/>
        <v>sub_attack = 0.00</v>
      </c>
      <c r="CY43" s="3" t="str">
        <f t="shared" si="137"/>
        <v>shore_bombardment = 0.00</v>
      </c>
      <c r="CZ43" s="3" t="str">
        <f t="shared" si="138"/>
        <v/>
      </c>
      <c r="DA43" s="3" t="str">
        <f t="shared" si="139"/>
        <v/>
      </c>
      <c r="DB43" s="3" t="str">
        <f t="shared" si="140"/>
        <v/>
      </c>
      <c r="DC43" s="3" t="str">
        <f t="shared" si="141"/>
        <v/>
      </c>
      <c r="DD43" s="3" t="s">
        <v>0</v>
      </c>
      <c r="DZ43" s="3" t="str">
        <f t="shared" si="142"/>
        <v xml:space="preserve">invasion_transport_ship = {
active = no
air_attack = 0
air_defence = 0.5
build_cost_ic = 6.00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LCTLandingcraft
supply_consumption = 0.30
type = naval
transport = yes
hull = 0.6
amphibious_invasion_speed = 0.25
amphibious_invasion_defence = 0.10
transport_capability = 60.00
range = 3500.00
distance = 0.1
surface_detection = 0.00
air_detection = 0.00
sub_detection = 0
visibility = 80.00
sea_defence = 1.00
convoy_attack = 0.00
sea_attack = 0
sub_attack = 0.00
shore_bombardment = 0.00
}
</v>
      </c>
    </row>
    <row r="44" spans="1:130" s="3" customFormat="1" x14ac:dyDescent="0.25">
      <c r="A44" s="2" t="str">
        <f t="shared" ca="1" si="99"/>
        <v>C:\Program Files (x86)\Paradox Interactive\Hearts of Iron III\tfh\mod\ww1tfh\units\light_cruiser.txt</v>
      </c>
      <c r="B44" s="3" t="s">
        <v>301</v>
      </c>
      <c r="C44" s="5" t="s">
        <v>90</v>
      </c>
      <c r="D44" s="6">
        <v>2</v>
      </c>
      <c r="E44" s="6">
        <v>2.5</v>
      </c>
      <c r="F44" s="5">
        <v>3.15</v>
      </c>
      <c r="G44" s="5" t="s">
        <v>115</v>
      </c>
      <c r="H44" s="5">
        <v>224</v>
      </c>
      <c r="I44" s="5">
        <v>0.6</v>
      </c>
      <c r="J44" s="5" t="s">
        <v>241</v>
      </c>
      <c r="K44" s="5" t="s">
        <v>263</v>
      </c>
      <c r="L44" s="5" t="s">
        <v>358</v>
      </c>
      <c r="M44" s="5" t="s">
        <v>137</v>
      </c>
      <c r="N44" s="6">
        <v>18.399999999999999</v>
      </c>
      <c r="O44" s="5" t="s">
        <v>133</v>
      </c>
      <c r="P44" s="5" t="s">
        <v>353</v>
      </c>
      <c r="Q44" s="5" t="s">
        <v>146</v>
      </c>
      <c r="R44" s="5" t="s">
        <v>102</v>
      </c>
      <c r="S44" s="5" t="s">
        <v>113</v>
      </c>
      <c r="T44" s="5" t="s">
        <v>359</v>
      </c>
      <c r="U44" s="5" t="s">
        <v>360</v>
      </c>
      <c r="V44" s="5" t="s">
        <v>324</v>
      </c>
      <c r="W44" s="5" t="s">
        <v>62</v>
      </c>
      <c r="X44" s="6">
        <v>0.6</v>
      </c>
      <c r="Y44" s="5" t="s">
        <v>62</v>
      </c>
      <c r="Z44" s="5" t="s">
        <v>62</v>
      </c>
      <c r="AA44" s="5" t="s">
        <v>62</v>
      </c>
      <c r="AB44" s="5" t="s">
        <v>106</v>
      </c>
      <c r="AC44" s="5" t="s">
        <v>351</v>
      </c>
      <c r="AD44" s="5">
        <v>0.1</v>
      </c>
      <c r="AE44" s="5" t="s">
        <v>135</v>
      </c>
      <c r="AF44" s="5" t="s">
        <v>135</v>
      </c>
      <c r="AG44" s="6">
        <v>2</v>
      </c>
      <c r="AH44" s="5" t="s">
        <v>325</v>
      </c>
      <c r="AI44" s="5" t="s">
        <v>333</v>
      </c>
      <c r="AJ44" s="5" t="s">
        <v>147</v>
      </c>
      <c r="AK44" s="11">
        <f t="shared" si="143"/>
        <v>3.75</v>
      </c>
      <c r="AL44" s="6">
        <v>1</v>
      </c>
      <c r="AM44" s="5" t="s">
        <v>115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00"/>
        <v>light_cruiser = {</v>
      </c>
      <c r="BO44" s="3" t="str">
        <f t="shared" si="101"/>
        <v>active = no</v>
      </c>
      <c r="BP44" s="3" t="str">
        <f t="shared" si="102"/>
        <v>air_attack = 2</v>
      </c>
      <c r="BQ44" s="3" t="str">
        <f t="shared" si="103"/>
        <v>air_defence = 2.5</v>
      </c>
      <c r="BR44" s="3" t="str">
        <f t="shared" si="104"/>
        <v>build_cost_ic = 3.15</v>
      </c>
      <c r="BS44" s="3" t="str">
        <f t="shared" si="105"/>
        <v>build_cost_manpower = 1.00</v>
      </c>
      <c r="BT44" s="3" t="str">
        <f t="shared" si="106"/>
        <v>build_time = 224</v>
      </c>
      <c r="BU44" s="3" t="str">
        <f t="shared" si="107"/>
        <v>completion_size = 0.6</v>
      </c>
      <c r="BV44" s="3" t="str">
        <f t="shared" si="108"/>
        <v>default_morale = 0.30</v>
      </c>
      <c r="BW44" s="3" t="str">
        <f t="shared" si="109"/>
        <v>default_organisation = 30</v>
      </c>
      <c r="BX44" s="3" t="str">
        <f t="shared" si="110"/>
        <v>fuel_consumption = 0.43</v>
      </c>
      <c r="BY44" s="3" t="str">
        <f t="shared" si="111"/>
        <v>max_strength = 100</v>
      </c>
      <c r="BZ44" s="3" t="str">
        <f t="shared" si="112"/>
        <v>maximum_speed = 18.4</v>
      </c>
      <c r="CA44" s="3" t="str">
        <f t="shared" si="113"/>
        <v>officers = 0</v>
      </c>
      <c r="CB44" s="3" t="str">
        <f t="shared" si="114"/>
        <v>on_completion = cruiser_practical</v>
      </c>
      <c r="CC44" s="3" t="str">
        <f t="shared" si="115"/>
        <v>priority = 5</v>
      </c>
      <c r="CD44" s="3" t="str">
        <f t="shared" si="116"/>
        <v>radio_strength = 1</v>
      </c>
      <c r="CE44" s="3" t="str">
        <f t="shared" si="117"/>
        <v>repair_cost_multiplier = 0.05</v>
      </c>
      <c r="CF44" s="3" t="str">
        <f t="shared" si="118"/>
        <v>sprite = LightCruiser</v>
      </c>
      <c r="CG44" s="3" t="str">
        <f t="shared" si="119"/>
        <v>supply_consumption = 0.36</v>
      </c>
      <c r="CH44" s="3" t="str">
        <f t="shared" si="120"/>
        <v>type = naval</v>
      </c>
      <c r="CI44" s="3" t="str">
        <f t="shared" si="121"/>
        <v/>
      </c>
      <c r="CJ44" s="3" t="str">
        <f t="shared" si="122"/>
        <v>hull = 0.6</v>
      </c>
      <c r="CK44" s="3" t="str">
        <f t="shared" si="123"/>
        <v/>
      </c>
      <c r="CL44" s="3" t="str">
        <f t="shared" si="124"/>
        <v/>
      </c>
      <c r="CM44" s="3" t="str">
        <f t="shared" si="125"/>
        <v/>
      </c>
      <c r="CN44" s="3" t="str">
        <f t="shared" si="126"/>
        <v>transport_capability = 0.00</v>
      </c>
      <c r="CO44" s="3" t="str">
        <f t="shared" si="127"/>
        <v>range = 2000.00</v>
      </c>
      <c r="CP44" s="3" t="str">
        <f t="shared" si="128"/>
        <v>distance = 0.1</v>
      </c>
      <c r="CQ44" s="3" t="str">
        <f t="shared" si="129"/>
        <v>surface_detection = 2.00</v>
      </c>
      <c r="CR44" s="3" t="str">
        <f t="shared" si="130"/>
        <v>air_detection = 2.00</v>
      </c>
      <c r="CS44" s="3" t="str">
        <f t="shared" si="131"/>
        <v>sub_detection = 2</v>
      </c>
      <c r="CT44" s="3" t="str">
        <f t="shared" si="132"/>
        <v>visibility = 60.00</v>
      </c>
      <c r="CU44" s="3" t="str">
        <f t="shared" si="133"/>
        <v>sea_defence = 12.00</v>
      </c>
      <c r="CV44" s="3" t="str">
        <f t="shared" si="134"/>
        <v>convoy_attack = 3.00</v>
      </c>
      <c r="CW44" s="3" t="str">
        <f t="shared" si="135"/>
        <v>sea_attack = 3.75</v>
      </c>
      <c r="CX44" s="3" t="str">
        <f t="shared" si="136"/>
        <v>sub_attack = 1</v>
      </c>
      <c r="CY44" s="3" t="str">
        <f t="shared" si="137"/>
        <v>shore_bombardment = 1.00</v>
      </c>
      <c r="CZ44" s="3" t="str">
        <f t="shared" si="138"/>
        <v/>
      </c>
      <c r="DA44" s="3" t="str">
        <f t="shared" si="139"/>
        <v/>
      </c>
      <c r="DB44" s="3" t="str">
        <f t="shared" si="140"/>
        <v/>
      </c>
      <c r="DC44" s="3" t="str">
        <f t="shared" si="141"/>
        <v/>
      </c>
      <c r="DD44" s="3" t="s">
        <v>0</v>
      </c>
      <c r="DZ44" s="3" t="str">
        <f t="shared" si="142"/>
        <v xml:space="preserve">light_cruiser = {
active = no
air_attack = 2
air_defence = 2.5
build_cost_ic = 3.15
build_cost_manpower = 1.00
build_time = 224
completion_size = 0.6
default_morale = 0.30
default_organisation = 30
fuel_consumption = 0.43
max_strength = 100
maximum_speed = 18.4
officers = 0
on_completion = cruiser_practical
priority = 5
radio_strength = 1
repair_cost_multiplier = 0.05
sprite = LightCruiser
supply_consumption = 0.36
type = naval
hull = 0.6
transport_capability = 0.00
range = 2000.00
distance = 0.1
surface_detection = 2.00
air_detection = 2.00
sub_detection = 2
visibility = 60.00
sea_defence = 12.00
convoy_attack = 3.00
sea_attack = 3.75
sub_attack = 1
shore_bombardment = 1.00
}
</v>
      </c>
    </row>
    <row r="45" spans="1:130" s="3" customFormat="1" x14ac:dyDescent="0.25">
      <c r="A45" s="2" t="str">
        <f t="shared" ca="1" si="99"/>
        <v>C:\Program Files (x86)\Paradox Interactive\Hearts of Iron III\tfh\mod\ww1tfh\units\submarine.txt</v>
      </c>
      <c r="B45" s="3" t="s">
        <v>302</v>
      </c>
      <c r="C45" s="5" t="s">
        <v>90</v>
      </c>
      <c r="D45" s="6">
        <v>0</v>
      </c>
      <c r="E45" s="6">
        <v>0.5</v>
      </c>
      <c r="F45" s="5">
        <v>3</v>
      </c>
      <c r="G45" s="5" t="s">
        <v>175</v>
      </c>
      <c r="H45" s="5">
        <v>200</v>
      </c>
      <c r="I45" s="5" t="s">
        <v>102</v>
      </c>
      <c r="J45" s="5" t="s">
        <v>364</v>
      </c>
      <c r="K45" s="5" t="s">
        <v>365</v>
      </c>
      <c r="L45" s="5" t="s">
        <v>352</v>
      </c>
      <c r="M45" s="5" t="s">
        <v>137</v>
      </c>
      <c r="N45" s="6">
        <v>8</v>
      </c>
      <c r="O45" s="5" t="s">
        <v>133</v>
      </c>
      <c r="P45" s="5" t="s">
        <v>361</v>
      </c>
      <c r="Q45" s="5" t="s">
        <v>139</v>
      </c>
      <c r="R45" s="5" t="s">
        <v>102</v>
      </c>
      <c r="S45" s="5" t="s">
        <v>113</v>
      </c>
      <c r="T45" s="5" t="s">
        <v>362</v>
      </c>
      <c r="U45" s="5" t="s">
        <v>241</v>
      </c>
      <c r="V45" s="5" t="s">
        <v>324</v>
      </c>
      <c r="W45" s="5" t="s">
        <v>62</v>
      </c>
      <c r="X45" s="6">
        <v>0.3</v>
      </c>
      <c r="Y45" s="5" t="s">
        <v>62</v>
      </c>
      <c r="Z45" s="5" t="s">
        <v>62</v>
      </c>
      <c r="AA45" s="5" t="s">
        <v>62</v>
      </c>
      <c r="AB45" s="5" t="s">
        <v>106</v>
      </c>
      <c r="AC45" s="5" t="s">
        <v>266</v>
      </c>
      <c r="AD45" s="5">
        <v>0.1</v>
      </c>
      <c r="AE45" s="5" t="s">
        <v>135</v>
      </c>
      <c r="AF45" s="5" t="s">
        <v>115</v>
      </c>
      <c r="AG45" s="6">
        <v>0</v>
      </c>
      <c r="AH45" s="6">
        <v>7</v>
      </c>
      <c r="AI45" s="5" t="s">
        <v>129</v>
      </c>
      <c r="AJ45" s="5" t="s">
        <v>115</v>
      </c>
      <c r="AK45" s="11">
        <f t="shared" si="143"/>
        <v>1.5</v>
      </c>
      <c r="AL45" s="5" t="s">
        <v>106</v>
      </c>
      <c r="AM45" s="5" t="s">
        <v>106</v>
      </c>
      <c r="AN45" s="5" t="s">
        <v>62</v>
      </c>
      <c r="AO45" s="5" t="s">
        <v>62</v>
      </c>
      <c r="AP45" s="5" t="s">
        <v>62</v>
      </c>
      <c r="AQ45" s="5" t="s">
        <v>159</v>
      </c>
      <c r="BN45" s="3" t="str">
        <f t="shared" si="100"/>
        <v>submarine = {</v>
      </c>
      <c r="BO45" s="3" t="str">
        <f t="shared" si="101"/>
        <v>active = no</v>
      </c>
      <c r="BP45" s="3" t="str">
        <f t="shared" si="102"/>
        <v>air_attack = 0</v>
      </c>
      <c r="BQ45" s="3" t="str">
        <f t="shared" si="103"/>
        <v>air_defence = 0.5</v>
      </c>
      <c r="BR45" s="3" t="str">
        <f t="shared" si="104"/>
        <v>build_cost_ic = 3</v>
      </c>
      <c r="BS45" s="3" t="str">
        <f t="shared" si="105"/>
        <v>build_cost_manpower = 0.4</v>
      </c>
      <c r="BT45" s="3" t="str">
        <f t="shared" si="106"/>
        <v>build_time = 200</v>
      </c>
      <c r="BU45" s="3" t="str">
        <f t="shared" si="107"/>
        <v>completion_size = 1</v>
      </c>
      <c r="BV45" s="3" t="str">
        <f t="shared" si="108"/>
        <v>default_morale = 0.35</v>
      </c>
      <c r="BW45" s="3" t="str">
        <f t="shared" si="109"/>
        <v>default_organisation = 25</v>
      </c>
      <c r="BX45" s="3" t="str">
        <f t="shared" si="110"/>
        <v>fuel_consumption = 0.58</v>
      </c>
      <c r="BY45" s="3" t="str">
        <f t="shared" si="111"/>
        <v>max_strength = 100</v>
      </c>
      <c r="BZ45" s="3" t="str">
        <f t="shared" si="112"/>
        <v>maximum_speed = 8</v>
      </c>
      <c r="CA45" s="3" t="str">
        <f t="shared" si="113"/>
        <v>officers = 0</v>
      </c>
      <c r="CB45" s="3" t="str">
        <f t="shared" si="114"/>
        <v>on_completion = submarine_practical</v>
      </c>
      <c r="CC45" s="3" t="str">
        <f t="shared" si="115"/>
        <v>priority = 3</v>
      </c>
      <c r="CD45" s="3" t="str">
        <f t="shared" si="116"/>
        <v>radio_strength = 1</v>
      </c>
      <c r="CE45" s="3" t="str">
        <f t="shared" si="117"/>
        <v>repair_cost_multiplier = 0.05</v>
      </c>
      <c r="CF45" s="3" t="str">
        <f t="shared" si="118"/>
        <v>sprite = Submarine</v>
      </c>
      <c r="CG45" s="3" t="str">
        <f t="shared" si="119"/>
        <v>supply_consumption = 0.30</v>
      </c>
      <c r="CH45" s="3" t="str">
        <f t="shared" si="120"/>
        <v>type = naval</v>
      </c>
      <c r="CI45" s="3" t="str">
        <f t="shared" si="121"/>
        <v/>
      </c>
      <c r="CJ45" s="3" t="str">
        <f t="shared" si="122"/>
        <v>hull = 0.3</v>
      </c>
      <c r="CK45" s="3" t="str">
        <f t="shared" si="123"/>
        <v/>
      </c>
      <c r="CL45" s="3" t="str">
        <f t="shared" si="124"/>
        <v/>
      </c>
      <c r="CM45" s="3" t="str">
        <f t="shared" si="125"/>
        <v/>
      </c>
      <c r="CN45" s="3" t="str">
        <f t="shared" si="126"/>
        <v>transport_capability = 0.00</v>
      </c>
      <c r="CO45" s="3" t="str">
        <f t="shared" si="127"/>
        <v>range = 800.00</v>
      </c>
      <c r="CP45" s="3" t="str">
        <f t="shared" si="128"/>
        <v>distance = 0.1</v>
      </c>
      <c r="CQ45" s="3" t="str">
        <f t="shared" si="129"/>
        <v>surface_detection = 2.00</v>
      </c>
      <c r="CR45" s="3" t="str">
        <f t="shared" si="130"/>
        <v>air_detection = 1.00</v>
      </c>
      <c r="CS45" s="3" t="str">
        <f t="shared" si="131"/>
        <v>sub_detection = 0</v>
      </c>
      <c r="CT45" s="3" t="str">
        <f t="shared" si="132"/>
        <v>visibility = 7</v>
      </c>
      <c r="CU45" s="3" t="str">
        <f t="shared" si="133"/>
        <v>sea_defence = 5.00</v>
      </c>
      <c r="CV45" s="3" t="str">
        <f t="shared" si="134"/>
        <v>convoy_attack = 1.00</v>
      </c>
      <c r="CW45" s="3" t="str">
        <f t="shared" si="135"/>
        <v>sea_attack = 1.5</v>
      </c>
      <c r="CX45" s="3" t="str">
        <f t="shared" si="136"/>
        <v>sub_attack = 0.00</v>
      </c>
      <c r="CY45" s="3" t="str">
        <f t="shared" si="137"/>
        <v>shore_bombardment = 0.00</v>
      </c>
      <c r="CZ45" s="3" t="str">
        <f t="shared" si="138"/>
        <v/>
      </c>
      <c r="DA45" s="3" t="str">
        <f t="shared" si="139"/>
        <v/>
      </c>
      <c r="DB45" s="3" t="str">
        <f t="shared" si="140"/>
        <v/>
      </c>
      <c r="DC45" s="3" t="str">
        <f t="shared" si="141"/>
        <v>is_sub = yes</v>
      </c>
      <c r="DD45" s="3" t="s">
        <v>0</v>
      </c>
      <c r="DZ45" s="3" t="str">
        <f t="shared" si="142"/>
        <v xml:space="preserve">submarine = {
active = no
air_attack = 0
air_defence = 0.5
build_cost_ic = 3
build_cost_manpower = 0.4
build_time = 200
completion_size = 1
default_morale = 0.35
default_organisation = 25
fuel_consumption = 0.58
max_strength = 100
maximum_speed = 8
officers = 0
on_completion = submarine_practical
priority = 3
radio_strength = 1
repair_cost_multiplier = 0.05
sprite = Submarine
supply_consumption = 0.30
type = naval
hull = 0.3
transport_capability = 0.00
range = 800.00
distance = 0.1
surface_detection = 2.00
air_detection = 1.00
sub_detection = 0
visibility = 7
sea_defence = 5.00
convoy_attack = 1.00
sea_attack = 1.5
sub_attack = 0.00
shore_bombardment = 0.00
is_sub = yes
}
</v>
      </c>
    </row>
    <row r="46" spans="1:130" s="3" customFormat="1" x14ac:dyDescent="0.25">
      <c r="A46" s="2" t="str">
        <f t="shared" ca="1" si="99"/>
        <v>C:\Program Files (x86)\Paradox Interactive\Hearts of Iron III\tfh\mod\ww1tfh\units\transport.txt</v>
      </c>
      <c r="B46" s="3" t="s">
        <v>303</v>
      </c>
      <c r="C46" s="5" t="s">
        <v>62</v>
      </c>
      <c r="D46" s="6">
        <v>0</v>
      </c>
      <c r="E46" s="6">
        <v>0</v>
      </c>
      <c r="F46" s="5" t="s">
        <v>129</v>
      </c>
      <c r="G46" s="5" t="s">
        <v>115</v>
      </c>
      <c r="H46" s="5" t="s">
        <v>367</v>
      </c>
      <c r="I46" s="5" t="s">
        <v>196</v>
      </c>
      <c r="J46" s="5" t="s">
        <v>363</v>
      </c>
      <c r="K46" s="5" t="s">
        <v>368</v>
      </c>
      <c r="L46" s="5" t="s">
        <v>335</v>
      </c>
      <c r="M46" s="5" t="s">
        <v>137</v>
      </c>
      <c r="N46" s="6">
        <v>12</v>
      </c>
      <c r="O46" s="5" t="s">
        <v>133</v>
      </c>
      <c r="P46" s="5" t="s">
        <v>322</v>
      </c>
      <c r="Q46" s="5" t="s">
        <v>102</v>
      </c>
      <c r="R46" s="5" t="s">
        <v>102</v>
      </c>
      <c r="S46" s="5" t="s">
        <v>113</v>
      </c>
      <c r="T46" s="5" t="s">
        <v>369</v>
      </c>
      <c r="U46" s="5" t="s">
        <v>241</v>
      </c>
      <c r="V46" s="5" t="s">
        <v>324</v>
      </c>
      <c r="W46" s="5" t="s">
        <v>159</v>
      </c>
      <c r="X46" s="6">
        <v>0.6</v>
      </c>
      <c r="Y46" s="5" t="s">
        <v>62</v>
      </c>
      <c r="Z46" s="5" t="s">
        <v>62</v>
      </c>
      <c r="AA46" s="5" t="s">
        <v>62</v>
      </c>
      <c r="AB46" s="5" t="s">
        <v>370</v>
      </c>
      <c r="AC46" s="5" t="s">
        <v>371</v>
      </c>
      <c r="AD46" s="5">
        <v>0.1</v>
      </c>
      <c r="AE46" s="5" t="s">
        <v>106</v>
      </c>
      <c r="AF46" s="5" t="s">
        <v>106</v>
      </c>
      <c r="AG46" s="6">
        <v>0</v>
      </c>
      <c r="AH46" s="5" t="s">
        <v>337</v>
      </c>
      <c r="AI46" s="5" t="s">
        <v>106</v>
      </c>
      <c r="AJ46" s="5" t="s">
        <v>106</v>
      </c>
      <c r="AK46" s="11">
        <f t="shared" si="143"/>
        <v>0</v>
      </c>
      <c r="AL46" s="5" t="s">
        <v>106</v>
      </c>
      <c r="AM46" s="5" t="s">
        <v>106</v>
      </c>
      <c r="AN46" s="5" t="s">
        <v>62</v>
      </c>
      <c r="AO46" s="5" t="s">
        <v>62</v>
      </c>
      <c r="AP46" s="5" t="s">
        <v>62</v>
      </c>
      <c r="AQ46" s="5" t="s">
        <v>62</v>
      </c>
      <c r="BN46" s="3" t="str">
        <f>B46&amp;"_ship = {"</f>
        <v>transport_ship = {</v>
      </c>
      <c r="BO46" s="3" t="str">
        <f t="shared" si="101"/>
        <v/>
      </c>
      <c r="BP46" s="3" t="str">
        <f t="shared" si="102"/>
        <v>air_attack = 0</v>
      </c>
      <c r="BQ46" s="3" t="str">
        <f t="shared" si="103"/>
        <v>air_defence = 0</v>
      </c>
      <c r="BR46" s="3" t="str">
        <f t="shared" si="104"/>
        <v>build_cost_ic = 5.00</v>
      </c>
      <c r="BS46" s="3" t="str">
        <f t="shared" si="105"/>
        <v>build_cost_manpower = 1.00</v>
      </c>
      <c r="BT46" s="3" t="str">
        <f t="shared" si="106"/>
        <v>build_time = 90</v>
      </c>
      <c r="BU46" s="3" t="str">
        <f t="shared" si="107"/>
        <v>completion_size = 0.5</v>
      </c>
      <c r="BV46" s="3" t="str">
        <f t="shared" si="108"/>
        <v>default_morale = 0.20</v>
      </c>
      <c r="BW46" s="3" t="str">
        <f t="shared" si="109"/>
        <v>default_organisation = 20</v>
      </c>
      <c r="BX46" s="3" t="str">
        <f t="shared" si="110"/>
        <v>fuel_consumption = 1.15</v>
      </c>
      <c r="BY46" s="3" t="str">
        <f t="shared" si="111"/>
        <v>max_strength = 100</v>
      </c>
      <c r="BZ46" s="3" t="str">
        <f t="shared" si="112"/>
        <v>maximum_speed = 12</v>
      </c>
      <c r="CA46" s="3" t="str">
        <f t="shared" si="113"/>
        <v>officers = 0</v>
      </c>
      <c r="CB46" s="3" t="str">
        <f t="shared" si="114"/>
        <v>on_completion = transport_practical</v>
      </c>
      <c r="CC46" s="3" t="str">
        <f t="shared" si="115"/>
        <v>priority = 1</v>
      </c>
      <c r="CD46" s="3" t="str">
        <f t="shared" si="116"/>
        <v>radio_strength = 1</v>
      </c>
      <c r="CE46" s="3" t="str">
        <f t="shared" si="117"/>
        <v>repair_cost_multiplier = 0.05</v>
      </c>
      <c r="CF46" s="3" t="str">
        <f t="shared" si="118"/>
        <v>sprite = Transportship</v>
      </c>
      <c r="CG46" s="3" t="str">
        <f t="shared" si="119"/>
        <v>supply_consumption = 0.30</v>
      </c>
      <c r="CH46" s="3" t="str">
        <f t="shared" si="120"/>
        <v>type = naval</v>
      </c>
      <c r="CI46" s="3" t="str">
        <f t="shared" si="121"/>
        <v>transport = yes</v>
      </c>
      <c r="CJ46" s="3" t="str">
        <f t="shared" si="122"/>
        <v>hull = 0.6</v>
      </c>
      <c r="CK46" s="3" t="str">
        <f t="shared" si="123"/>
        <v/>
      </c>
      <c r="CL46" s="3" t="str">
        <f t="shared" si="124"/>
        <v/>
      </c>
      <c r="CM46" s="3" t="str">
        <f t="shared" si="125"/>
        <v/>
      </c>
      <c r="CN46" s="3" t="str">
        <f t="shared" si="126"/>
        <v>transport_capability = 40.00</v>
      </c>
      <c r="CO46" s="3" t="str">
        <f t="shared" si="127"/>
        <v>range = 3000.00</v>
      </c>
      <c r="CP46" s="3" t="str">
        <f t="shared" si="128"/>
        <v>distance = 0.1</v>
      </c>
      <c r="CQ46" s="3" t="str">
        <f t="shared" si="129"/>
        <v>surface_detection = 0.00</v>
      </c>
      <c r="CR46" s="3" t="str">
        <f t="shared" si="130"/>
        <v>air_detection = 0.00</v>
      </c>
      <c r="CS46" s="3" t="str">
        <f t="shared" si="131"/>
        <v>sub_detection = 0</v>
      </c>
      <c r="CT46" s="3" t="str">
        <f t="shared" si="132"/>
        <v>visibility = 90.00</v>
      </c>
      <c r="CU46" s="3" t="str">
        <f t="shared" si="133"/>
        <v>sea_defence = 0.00</v>
      </c>
      <c r="CV46" s="3" t="str">
        <f t="shared" si="134"/>
        <v>convoy_attack = 0.00</v>
      </c>
      <c r="CW46" s="3" t="str">
        <f t="shared" si="135"/>
        <v>sea_attack = 0</v>
      </c>
      <c r="CX46" s="3" t="str">
        <f t="shared" si="136"/>
        <v>sub_attack = 0.00</v>
      </c>
      <c r="CY46" s="3" t="str">
        <f t="shared" si="137"/>
        <v>shore_bombardment = 0.00</v>
      </c>
      <c r="CZ46" s="3" t="str">
        <f t="shared" si="138"/>
        <v/>
      </c>
      <c r="DA46" s="3" t="str">
        <f t="shared" si="139"/>
        <v/>
      </c>
      <c r="DB46" s="3" t="str">
        <f t="shared" si="140"/>
        <v/>
      </c>
      <c r="DC46" s="3" t="str">
        <f t="shared" si="141"/>
        <v/>
      </c>
      <c r="DD46" s="3" t="s">
        <v>0</v>
      </c>
      <c r="DZ46" s="3" t="str">
        <f t="shared" si="142"/>
        <v xml:space="preserve">transport_ship = {
air_attack = 0
air_defence = 0
build_cost_ic = 5.00
build_cost_manpower = 1.00
build_time = 90
completion_size = 0.5
default_morale = 0.20
default_organisation = 20
fuel_consumption = 1.15
max_strength = 100
maximum_speed = 12
officers = 0
on_completion = transport_practical
priority = 1
radio_strength = 1
repair_cost_multiplier = 0.05
sprite = Transportship
supply_consumption = 0.30
type = naval
transport = yes
hull = 0.6
transport_capability = 40.00
range = 3000.00
distance = 0.1
surface_detection = 0.00
air_detection = 0.00
sub_detection = 0
visibility = 90.00
sea_defence = 0.00
convoy_attack = 0.00
sea_attack = 0
sub_attack = 0.00
shore_bombardment = 0.00
}
</v>
      </c>
    </row>
    <row r="47" spans="1:130" s="3" customFormat="1" x14ac:dyDescent="0.25">
      <c r="A47" s="2" t="str">
        <f t="shared" ca="1" si="99"/>
        <v>C:\Program Files (x86)\Paradox Interactive\Hearts of Iron III\tfh\mod\ww1tfh\units\dreadnaught.txt</v>
      </c>
      <c r="B47" s="3" t="s">
        <v>304</v>
      </c>
      <c r="C47" s="5" t="s">
        <v>90</v>
      </c>
      <c r="D47" s="6">
        <v>0</v>
      </c>
      <c r="E47" s="6">
        <v>2</v>
      </c>
      <c r="F47" s="5">
        <v>6.3</v>
      </c>
      <c r="G47" s="5" t="s">
        <v>147</v>
      </c>
      <c r="H47" s="5">
        <v>608</v>
      </c>
      <c r="I47" s="5">
        <v>2.2000000000000002</v>
      </c>
      <c r="J47" s="5" t="s">
        <v>241</v>
      </c>
      <c r="K47" s="5" t="s">
        <v>263</v>
      </c>
      <c r="L47" s="5">
        <v>1.38</v>
      </c>
      <c r="M47" s="5" t="s">
        <v>137</v>
      </c>
      <c r="N47" s="6">
        <v>16</v>
      </c>
      <c r="O47" s="5" t="s">
        <v>133</v>
      </c>
      <c r="P47" s="5" t="s">
        <v>329</v>
      </c>
      <c r="Q47" s="5">
        <v>10</v>
      </c>
      <c r="R47" s="5" t="s">
        <v>318</v>
      </c>
      <c r="S47" s="5" t="s">
        <v>113</v>
      </c>
      <c r="T47" s="5" t="s">
        <v>336</v>
      </c>
      <c r="U47" s="5">
        <v>0.8</v>
      </c>
      <c r="V47" s="5" t="s">
        <v>324</v>
      </c>
      <c r="W47" s="5" t="s">
        <v>62</v>
      </c>
      <c r="X47" s="6">
        <v>1.1000000000000001</v>
      </c>
      <c r="Y47" s="5" t="s">
        <v>62</v>
      </c>
      <c r="Z47" s="5" t="s">
        <v>62</v>
      </c>
      <c r="AA47" s="5" t="s">
        <v>62</v>
      </c>
      <c r="AB47" s="5" t="s">
        <v>106</v>
      </c>
      <c r="AC47" s="5">
        <v>4000</v>
      </c>
      <c r="AD47" s="5">
        <v>0.18</v>
      </c>
      <c r="AE47" s="5" t="s">
        <v>115</v>
      </c>
      <c r="AF47" s="5" t="s">
        <v>115</v>
      </c>
      <c r="AG47" s="6">
        <v>0</v>
      </c>
      <c r="AH47" s="5">
        <v>100</v>
      </c>
      <c r="AI47" s="5">
        <v>4</v>
      </c>
      <c r="AJ47" s="5" t="s">
        <v>366</v>
      </c>
      <c r="AK47" s="11">
        <f t="shared" si="143"/>
        <v>16.5</v>
      </c>
      <c r="AL47" s="5" t="s">
        <v>106</v>
      </c>
      <c r="AM47" s="5" t="s">
        <v>275</v>
      </c>
      <c r="AN47" s="5" t="s">
        <v>159</v>
      </c>
      <c r="AO47" s="5" t="s">
        <v>159</v>
      </c>
      <c r="AP47" s="5" t="s">
        <v>62</v>
      </c>
      <c r="AQ47" s="5" t="s">
        <v>62</v>
      </c>
      <c r="BN47" s="3" t="str">
        <f>B47&amp;" = {"</f>
        <v>dreadnaught = {</v>
      </c>
      <c r="BO47" s="3" t="str">
        <f t="shared" si="101"/>
        <v>active = no</v>
      </c>
      <c r="BP47" s="3" t="str">
        <f t="shared" si="102"/>
        <v>air_attack = 0</v>
      </c>
      <c r="BQ47" s="3" t="str">
        <f t="shared" si="103"/>
        <v>air_defence = 2</v>
      </c>
      <c r="BR47" s="3" t="str">
        <f t="shared" si="104"/>
        <v>build_cost_ic = 6.3</v>
      </c>
      <c r="BS47" s="3" t="str">
        <f t="shared" si="105"/>
        <v>build_cost_manpower = 3.00</v>
      </c>
      <c r="BT47" s="3" t="str">
        <f t="shared" si="106"/>
        <v>build_time = 608</v>
      </c>
      <c r="BU47" s="3" t="str">
        <f t="shared" si="107"/>
        <v>completion_size = 2.2</v>
      </c>
      <c r="BV47" s="3" t="str">
        <f t="shared" si="108"/>
        <v>default_morale = 0.30</v>
      </c>
      <c r="BW47" s="3" t="str">
        <f t="shared" si="109"/>
        <v>default_organisation = 30</v>
      </c>
      <c r="BX47" s="3" t="str">
        <f t="shared" si="110"/>
        <v>fuel_consumption = 1.38</v>
      </c>
      <c r="BY47" s="3" t="str">
        <f t="shared" si="111"/>
        <v>max_strength = 100</v>
      </c>
      <c r="BZ47" s="3" t="str">
        <f t="shared" si="112"/>
        <v>maximum_speed = 16</v>
      </c>
      <c r="CA47" s="3" t="str">
        <f t="shared" si="113"/>
        <v>officers = 0</v>
      </c>
      <c r="CB47" s="3" t="str">
        <f t="shared" si="114"/>
        <v>on_completion = capitalship_practical</v>
      </c>
      <c r="CC47" s="3" t="str">
        <f t="shared" si="115"/>
        <v>priority = 10</v>
      </c>
      <c r="CD47" s="3" t="str">
        <f t="shared" si="116"/>
        <v>radio_strength = 1.25</v>
      </c>
      <c r="CE47" s="3" t="str">
        <f t="shared" si="117"/>
        <v>repair_cost_multiplier = 0.05</v>
      </c>
      <c r="CF47" s="3" t="str">
        <f t="shared" si="118"/>
        <v>sprite = Battleship</v>
      </c>
      <c r="CG47" s="3" t="str">
        <f t="shared" si="119"/>
        <v>supply_consumption = 0.8</v>
      </c>
      <c r="CH47" s="3" t="str">
        <f t="shared" si="120"/>
        <v>type = naval</v>
      </c>
      <c r="CI47" s="3" t="str">
        <f t="shared" si="121"/>
        <v/>
      </c>
      <c r="CJ47" s="3" t="str">
        <f t="shared" si="122"/>
        <v>hull = 1.1</v>
      </c>
      <c r="CK47" s="3" t="str">
        <f t="shared" si="123"/>
        <v/>
      </c>
      <c r="CL47" s="3" t="str">
        <f t="shared" si="124"/>
        <v/>
      </c>
      <c r="CM47" s="3" t="str">
        <f t="shared" si="125"/>
        <v/>
      </c>
      <c r="CN47" s="3" t="str">
        <f t="shared" si="126"/>
        <v>transport_capability = 0.00</v>
      </c>
      <c r="CO47" s="3" t="str">
        <f t="shared" si="127"/>
        <v>range = 4000</v>
      </c>
      <c r="CP47" s="3" t="str">
        <f t="shared" si="128"/>
        <v>distance = 0.18</v>
      </c>
      <c r="CQ47" s="3" t="str">
        <f t="shared" si="129"/>
        <v>surface_detection = 1.00</v>
      </c>
      <c r="CR47" s="3" t="str">
        <f t="shared" si="130"/>
        <v>air_detection = 1.00</v>
      </c>
      <c r="CS47" s="3" t="str">
        <f t="shared" si="131"/>
        <v>sub_detection = 0</v>
      </c>
      <c r="CT47" s="3" t="str">
        <f t="shared" si="132"/>
        <v>visibility = 100</v>
      </c>
      <c r="CU47" s="3" t="str">
        <f t="shared" si="133"/>
        <v>sea_defence = 4</v>
      </c>
      <c r="CV47" s="3" t="str">
        <f t="shared" si="134"/>
        <v>convoy_attack = 22.00</v>
      </c>
      <c r="CW47" s="3" t="str">
        <f t="shared" si="135"/>
        <v>sea_attack = 16.5</v>
      </c>
      <c r="CX47" s="3" t="str">
        <f t="shared" si="136"/>
        <v>sub_attack = 0.00</v>
      </c>
      <c r="CY47" s="3" t="str">
        <f t="shared" si="137"/>
        <v>shore_bombardment = 14.00</v>
      </c>
      <c r="CZ47" s="3" t="str">
        <f t="shared" si="138"/>
        <v>capital = yes</v>
      </c>
      <c r="DA47" s="3" t="str">
        <f t="shared" si="139"/>
        <v>can_be_pride = yes</v>
      </c>
      <c r="DB47" s="3" t="str">
        <f t="shared" si="140"/>
        <v/>
      </c>
      <c r="DC47" s="3" t="str">
        <f t="shared" si="141"/>
        <v/>
      </c>
      <c r="DD47" s="3" t="s">
        <v>0</v>
      </c>
      <c r="DZ47" s="3" t="str">
        <f t="shared" si="142"/>
        <v xml:space="preserve">dreadnaught = {
active = no
air_attack = 0
air_defence = 2
build_cost_ic = 6.3
build_cost_manpower = 3.00
build_time = 608
completion_size = 2.2
default_morale = 0.30
default_organisation = 30
fuel_consumption = 1.38
max_strength = 100
maximum_speed = 16
officers = 0
on_completion = capitalship_practical
priority = 10
radio_strength = 1.25
repair_cost_multiplier = 0.05
sprite = Battleship
supply_consumption = 0.8
type = naval
hull = 1.1
transport_capability = 0.00
range = 4000
distance = 0.18
surface_detection = 1.00
air_detection = 1.00
sub_detection = 0
visibility = 100
sea_defence = 4
convoy_attack = 22.00
sea_attack = 16.5
sub_attack = 0.00
shore_bombardment = 14.00
capital = yes
can_be_pride = yes
}
</v>
      </c>
    </row>
    <row r="50" spans="37:37" x14ac:dyDescent="0.25">
      <c r="AK50" s="2" t="s">
        <v>106</v>
      </c>
    </row>
    <row r="51" spans="37:37" x14ac:dyDescent="0.25">
      <c r="AK51" s="2" t="s">
        <v>333</v>
      </c>
    </row>
    <row r="52" spans="37:37" x14ac:dyDescent="0.25">
      <c r="AK52" s="2">
        <v>15</v>
      </c>
    </row>
    <row r="53" spans="37:37" x14ac:dyDescent="0.25">
      <c r="AK53" s="2" t="s">
        <v>106</v>
      </c>
    </row>
    <row r="54" spans="37:37" x14ac:dyDescent="0.25">
      <c r="AK54" s="2" t="s">
        <v>147</v>
      </c>
    </row>
    <row r="55" spans="37:37" x14ac:dyDescent="0.25">
      <c r="AK55" s="2" t="s">
        <v>106</v>
      </c>
    </row>
    <row r="56" spans="37:37" x14ac:dyDescent="0.25">
      <c r="AK56" s="2" t="s">
        <v>212</v>
      </c>
    </row>
    <row r="57" spans="37:37" x14ac:dyDescent="0.25">
      <c r="AK57" s="2" t="s">
        <v>106</v>
      </c>
    </row>
    <row r="58" spans="37:37" x14ac:dyDescent="0.25">
      <c r="AK58" s="2" t="s">
        <v>129</v>
      </c>
    </row>
    <row r="59" spans="37:37" x14ac:dyDescent="0.25">
      <c r="AK59" s="2" t="s">
        <v>135</v>
      </c>
    </row>
    <row r="60" spans="37:37" x14ac:dyDescent="0.25">
      <c r="AK60" s="2" t="s">
        <v>106</v>
      </c>
    </row>
    <row r="61" spans="37:37" x14ac:dyDescent="0.25">
      <c r="AK61" s="2">
        <v>22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E22" sqref="E22"/>
    </sheetView>
  </sheetViews>
  <sheetFormatPr defaultRowHeight="15.75" x14ac:dyDescent="0.25"/>
  <sheetData>
    <row r="2" spans="2:3" x14ac:dyDescent="0.25">
      <c r="B2">
        <v>1</v>
      </c>
      <c r="C2" t="s">
        <v>373</v>
      </c>
    </row>
    <row r="3" spans="2:3" x14ac:dyDescent="0.25">
      <c r="B3">
        <v>2</v>
      </c>
      <c r="C3" t="s">
        <v>374</v>
      </c>
    </row>
    <row r="4" spans="2:3" x14ac:dyDescent="0.25">
      <c r="B4">
        <v>3</v>
      </c>
      <c r="C4" t="s">
        <v>375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2013-10-18T02:15:38Z</dcterms:modified>
</cp:coreProperties>
</file>
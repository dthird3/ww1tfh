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5475" yWindow="1995" windowWidth="29040" windowHeight="18240" tabRatio="500"/>
  </bookViews>
  <sheets>
    <sheet name="Data" sheetId="11" r:id="rId1"/>
    <sheet name="Instructions" sheetId="17" r:id="rId2"/>
  </sheets>
  <functionGroups builtInGroupCount="17"/>
  <calcPr calcId="145621" calcMode="manual" iterateDelta="1E-4"/>
</workbook>
</file>

<file path=xl/calcChain.xml><?xml version="1.0" encoding="utf-8"?>
<calcChain xmlns="http://schemas.openxmlformats.org/spreadsheetml/2006/main">
  <c r="AK37" i="11" l="1"/>
  <c r="AK38" i="11"/>
  <c r="AK39" i="11"/>
  <c r="AK40" i="11"/>
  <c r="AK41" i="11"/>
  <c r="AK42" i="11"/>
  <c r="AK43" i="11"/>
  <c r="AK44" i="11"/>
  <c r="AK45" i="11"/>
  <c r="AK46" i="11"/>
  <c r="AK47" i="11"/>
  <c r="AK36" i="11"/>
  <c r="CT33" i="11" l="1"/>
  <c r="CS33" i="11"/>
  <c r="CR33" i="11"/>
  <c r="CQ33" i="11"/>
  <c r="CP33" i="11"/>
  <c r="CO33" i="11"/>
  <c r="CN33" i="11"/>
  <c r="CM33" i="11"/>
  <c r="CL33" i="11"/>
  <c r="CK33" i="11"/>
  <c r="CJ33" i="11"/>
  <c r="CI33" i="11"/>
  <c r="CH33" i="11"/>
  <c r="CG33" i="11"/>
  <c r="CF33" i="11"/>
  <c r="CE33" i="11"/>
  <c r="CD33" i="11"/>
  <c r="CC33" i="11"/>
  <c r="CB33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CT32" i="11"/>
  <c r="CS32" i="11"/>
  <c r="CR32" i="11"/>
  <c r="CQ32" i="11"/>
  <c r="CP32" i="11"/>
  <c r="CO32" i="11"/>
  <c r="CN32" i="11"/>
  <c r="CM32" i="11"/>
  <c r="CL32" i="11"/>
  <c r="CK32" i="11"/>
  <c r="CJ32" i="11"/>
  <c r="CI32" i="11"/>
  <c r="CH32" i="11"/>
  <c r="CG32" i="11"/>
  <c r="CF32" i="11"/>
  <c r="CE32" i="11"/>
  <c r="CD32" i="11"/>
  <c r="CC32" i="11"/>
  <c r="CB32" i="11"/>
  <c r="CA32" i="11"/>
  <c r="BZ32" i="11"/>
  <c r="BY32" i="11"/>
  <c r="BX32" i="11"/>
  <c r="BW32" i="11"/>
  <c r="BV32" i="11"/>
  <c r="BU32" i="11"/>
  <c r="BT32" i="11"/>
  <c r="BS32" i="11"/>
  <c r="BR32" i="11"/>
  <c r="BQ32" i="11"/>
  <c r="BP32" i="11"/>
  <c r="BO32" i="11"/>
  <c r="CT31" i="11"/>
  <c r="CS31" i="11"/>
  <c r="CR31" i="11"/>
  <c r="CQ31" i="11"/>
  <c r="CP31" i="11"/>
  <c r="CO31" i="11"/>
  <c r="CN31" i="11"/>
  <c r="CM31" i="11"/>
  <c r="CL31" i="11"/>
  <c r="CK31" i="11"/>
  <c r="CJ31" i="11"/>
  <c r="CI31" i="11"/>
  <c r="CH31" i="11"/>
  <c r="CG31" i="11"/>
  <c r="CF31" i="11"/>
  <c r="CE31" i="11"/>
  <c r="CD31" i="11"/>
  <c r="CC31" i="11"/>
  <c r="CB31" i="11"/>
  <c r="CA31" i="11"/>
  <c r="BZ31" i="11"/>
  <c r="BY31" i="11"/>
  <c r="BX31" i="11"/>
  <c r="BW31" i="11"/>
  <c r="BV31" i="11"/>
  <c r="BU31" i="11"/>
  <c r="BT31" i="11"/>
  <c r="BS31" i="11"/>
  <c r="BR31" i="11"/>
  <c r="BQ31" i="11"/>
  <c r="BP31" i="11"/>
  <c r="BO31" i="11"/>
  <c r="CT30" i="11"/>
  <c r="CS30" i="11"/>
  <c r="CR30" i="11"/>
  <c r="CQ30" i="11"/>
  <c r="CP30" i="11"/>
  <c r="CO30" i="11"/>
  <c r="CN30" i="11"/>
  <c r="CM30" i="11"/>
  <c r="CL30" i="11"/>
  <c r="CK30" i="11"/>
  <c r="CJ30" i="11"/>
  <c r="CI30" i="11"/>
  <c r="CH30" i="11"/>
  <c r="CG30" i="11"/>
  <c r="CF30" i="11"/>
  <c r="CE30" i="11"/>
  <c r="CD30" i="11"/>
  <c r="CC30" i="11"/>
  <c r="CB30" i="11"/>
  <c r="CA30" i="11"/>
  <c r="BZ30" i="11"/>
  <c r="BY30" i="11"/>
  <c r="BX30" i="11"/>
  <c r="BW30" i="11"/>
  <c r="BV30" i="11"/>
  <c r="BU30" i="11"/>
  <c r="BT30" i="11"/>
  <c r="BS30" i="11"/>
  <c r="BR30" i="11"/>
  <c r="BQ30" i="11"/>
  <c r="BP30" i="11"/>
  <c r="BO30" i="11"/>
  <c r="A1" i="11"/>
  <c r="DC47" i="11"/>
  <c r="DB47" i="11"/>
  <c r="DA47" i="11"/>
  <c r="CZ47" i="11"/>
  <c r="CY47" i="11"/>
  <c r="CX47" i="11"/>
  <c r="CW47" i="11"/>
  <c r="CV47" i="11"/>
  <c r="CU47" i="11"/>
  <c r="CT47" i="11"/>
  <c r="CS47" i="11"/>
  <c r="CR47" i="11"/>
  <c r="CQ47" i="11"/>
  <c r="CP47" i="11"/>
  <c r="CO47" i="11"/>
  <c r="CN47" i="11"/>
  <c r="CM47" i="11"/>
  <c r="CL47" i="11"/>
  <c r="CK47" i="11"/>
  <c r="CJ47" i="11"/>
  <c r="CI47" i="11"/>
  <c r="CH47" i="11"/>
  <c r="CG47" i="11"/>
  <c r="CF47" i="11"/>
  <c r="CE47" i="11"/>
  <c r="CD47" i="11"/>
  <c r="CC47" i="11"/>
  <c r="CB47" i="11"/>
  <c r="CA47" i="11"/>
  <c r="BZ47" i="11"/>
  <c r="BY47" i="11"/>
  <c r="BX47" i="11"/>
  <c r="BW47" i="11"/>
  <c r="BV47" i="11"/>
  <c r="BU47" i="11"/>
  <c r="BT47" i="11"/>
  <c r="BS47" i="11"/>
  <c r="BR47" i="11"/>
  <c r="BQ47" i="11"/>
  <c r="BP47" i="11"/>
  <c r="BO47" i="11"/>
  <c r="DC46" i="11"/>
  <c r="DB46" i="11"/>
  <c r="DA46" i="11"/>
  <c r="CZ46" i="11"/>
  <c r="CY46" i="11"/>
  <c r="CX46" i="11"/>
  <c r="CW46" i="11"/>
  <c r="CV46" i="11"/>
  <c r="CU46" i="11"/>
  <c r="CT46" i="11"/>
  <c r="CS46" i="11"/>
  <c r="CR46" i="11"/>
  <c r="CQ46" i="11"/>
  <c r="CP46" i="11"/>
  <c r="CO46" i="11"/>
  <c r="CN46" i="11"/>
  <c r="CM46" i="11"/>
  <c r="CL46" i="11"/>
  <c r="CK46" i="11"/>
  <c r="CJ46" i="11"/>
  <c r="CI46" i="11"/>
  <c r="CH46" i="11"/>
  <c r="CG46" i="11"/>
  <c r="CF46" i="11"/>
  <c r="CE46" i="11"/>
  <c r="CD46" i="11"/>
  <c r="CC46" i="11"/>
  <c r="CB46" i="11"/>
  <c r="CA46" i="11"/>
  <c r="BZ46" i="11"/>
  <c r="BY46" i="11"/>
  <c r="BX46" i="11"/>
  <c r="BW46" i="11"/>
  <c r="BV46" i="11"/>
  <c r="BU46" i="11"/>
  <c r="BT46" i="11"/>
  <c r="BS46" i="11"/>
  <c r="BR46" i="11"/>
  <c r="BQ46" i="11"/>
  <c r="BP46" i="11"/>
  <c r="BO46" i="11"/>
  <c r="DC45" i="11"/>
  <c r="DB45" i="11"/>
  <c r="DA45" i="11"/>
  <c r="CZ45" i="11"/>
  <c r="CY45" i="11"/>
  <c r="CX45" i="11"/>
  <c r="CW45" i="11"/>
  <c r="CV45" i="11"/>
  <c r="CU45" i="11"/>
  <c r="CT45" i="11"/>
  <c r="CS45" i="11"/>
  <c r="CR45" i="11"/>
  <c r="CQ45" i="11"/>
  <c r="CP45" i="11"/>
  <c r="CO45" i="11"/>
  <c r="CN45" i="11"/>
  <c r="CM45" i="11"/>
  <c r="CL45" i="11"/>
  <c r="CK45" i="11"/>
  <c r="CJ45" i="11"/>
  <c r="CI45" i="11"/>
  <c r="CH45" i="11"/>
  <c r="CG45" i="11"/>
  <c r="CF45" i="11"/>
  <c r="CE45" i="11"/>
  <c r="CD45" i="11"/>
  <c r="CC45" i="11"/>
  <c r="CB45" i="11"/>
  <c r="CA45" i="11"/>
  <c r="BZ45" i="11"/>
  <c r="BY45" i="11"/>
  <c r="BX45" i="11"/>
  <c r="BW45" i="11"/>
  <c r="BV45" i="11"/>
  <c r="BU45" i="11"/>
  <c r="BT45" i="11"/>
  <c r="BS45" i="11"/>
  <c r="BR45" i="11"/>
  <c r="BQ45" i="11"/>
  <c r="BP45" i="11"/>
  <c r="BO45" i="11"/>
  <c r="DC44" i="11"/>
  <c r="DB44" i="11"/>
  <c r="DA44" i="11"/>
  <c r="CZ44" i="11"/>
  <c r="CY44" i="11"/>
  <c r="CX44" i="11"/>
  <c r="CW44" i="11"/>
  <c r="CV44" i="11"/>
  <c r="CU44" i="11"/>
  <c r="CT44" i="11"/>
  <c r="CS44" i="11"/>
  <c r="CR44" i="11"/>
  <c r="CQ44" i="11"/>
  <c r="CP44" i="11"/>
  <c r="CO44" i="11"/>
  <c r="CN44" i="11"/>
  <c r="CM44" i="11"/>
  <c r="CL44" i="11"/>
  <c r="CK44" i="11"/>
  <c r="CJ44" i="11"/>
  <c r="CI44" i="11"/>
  <c r="CH44" i="11"/>
  <c r="CG44" i="11"/>
  <c r="CF44" i="11"/>
  <c r="CE44" i="11"/>
  <c r="CD44" i="11"/>
  <c r="CC44" i="11"/>
  <c r="CB44" i="11"/>
  <c r="CA44" i="11"/>
  <c r="BZ44" i="11"/>
  <c r="BY44" i="11"/>
  <c r="BX44" i="11"/>
  <c r="BW44" i="11"/>
  <c r="BV44" i="11"/>
  <c r="BU44" i="11"/>
  <c r="BT44" i="11"/>
  <c r="BS44" i="11"/>
  <c r="BR44" i="11"/>
  <c r="BQ44" i="11"/>
  <c r="BP44" i="11"/>
  <c r="BO44" i="11"/>
  <c r="DC43" i="11"/>
  <c r="DB43" i="11"/>
  <c r="DA43" i="11"/>
  <c r="CZ43" i="11"/>
  <c r="CY43" i="11"/>
  <c r="CX43" i="11"/>
  <c r="CW43" i="11"/>
  <c r="CV43" i="11"/>
  <c r="CU43" i="11"/>
  <c r="CT43" i="11"/>
  <c r="CS43" i="11"/>
  <c r="CR43" i="11"/>
  <c r="CQ43" i="11"/>
  <c r="CP43" i="11"/>
  <c r="CO43" i="11"/>
  <c r="CN43" i="11"/>
  <c r="CM43" i="11"/>
  <c r="CL43" i="11"/>
  <c r="CK43" i="11"/>
  <c r="CJ43" i="11"/>
  <c r="CI43" i="11"/>
  <c r="CH43" i="11"/>
  <c r="CG43" i="11"/>
  <c r="CF43" i="11"/>
  <c r="CE43" i="11"/>
  <c r="CD43" i="11"/>
  <c r="CC43" i="11"/>
  <c r="CB43" i="11"/>
  <c r="CA43" i="11"/>
  <c r="BZ43" i="11"/>
  <c r="BY43" i="11"/>
  <c r="BX43" i="11"/>
  <c r="BW43" i="11"/>
  <c r="BV43" i="11"/>
  <c r="BU43" i="11"/>
  <c r="BT43" i="11"/>
  <c r="BS43" i="11"/>
  <c r="BR43" i="11"/>
  <c r="BQ43" i="11"/>
  <c r="BP43" i="11"/>
  <c r="BO43" i="11"/>
  <c r="DC42" i="11"/>
  <c r="DB42" i="11"/>
  <c r="DA42" i="11"/>
  <c r="CZ42" i="11"/>
  <c r="CY42" i="11"/>
  <c r="CX42" i="11"/>
  <c r="CW42" i="11"/>
  <c r="CV42" i="11"/>
  <c r="CU42" i="11"/>
  <c r="CT42" i="11"/>
  <c r="CS42" i="11"/>
  <c r="CR42" i="11"/>
  <c r="CQ42" i="11"/>
  <c r="CP42" i="11"/>
  <c r="CO42" i="11"/>
  <c r="CN42" i="11"/>
  <c r="CM42" i="11"/>
  <c r="CL42" i="11"/>
  <c r="CK42" i="11"/>
  <c r="CJ42" i="11"/>
  <c r="CI42" i="11"/>
  <c r="CH42" i="11"/>
  <c r="CG42" i="11"/>
  <c r="CF42" i="11"/>
  <c r="CE42" i="11"/>
  <c r="CD42" i="11"/>
  <c r="CC42" i="11"/>
  <c r="CB42" i="11"/>
  <c r="CA42" i="11"/>
  <c r="BZ42" i="11"/>
  <c r="BY42" i="11"/>
  <c r="BX42" i="11"/>
  <c r="BW42" i="11"/>
  <c r="BV42" i="11"/>
  <c r="BU42" i="11"/>
  <c r="BT42" i="11"/>
  <c r="BS42" i="11"/>
  <c r="BR42" i="11"/>
  <c r="BQ42" i="11"/>
  <c r="BP42" i="11"/>
  <c r="BO42" i="11"/>
  <c r="DC41" i="11"/>
  <c r="DB41" i="11"/>
  <c r="DA41" i="11"/>
  <c r="CZ41" i="11"/>
  <c r="CY41" i="11"/>
  <c r="CX41" i="11"/>
  <c r="CW41" i="11"/>
  <c r="CV41" i="11"/>
  <c r="CU41" i="11"/>
  <c r="CT41" i="11"/>
  <c r="CS41" i="11"/>
  <c r="CR41" i="11"/>
  <c r="CQ41" i="11"/>
  <c r="CP41" i="11"/>
  <c r="CO41" i="11"/>
  <c r="CN41" i="11"/>
  <c r="CM41" i="11"/>
  <c r="CL41" i="11"/>
  <c r="CK41" i="11"/>
  <c r="CJ41" i="11"/>
  <c r="CI41" i="11"/>
  <c r="CH41" i="11"/>
  <c r="CG41" i="11"/>
  <c r="CF41" i="11"/>
  <c r="CE41" i="11"/>
  <c r="CD41" i="11"/>
  <c r="CC41" i="11"/>
  <c r="CB41" i="11"/>
  <c r="CA41" i="11"/>
  <c r="BZ41" i="11"/>
  <c r="BY41" i="11"/>
  <c r="BX41" i="11"/>
  <c r="BW41" i="11"/>
  <c r="BV41" i="11"/>
  <c r="BU41" i="11"/>
  <c r="BT41" i="11"/>
  <c r="BS41" i="11"/>
  <c r="BR41" i="11"/>
  <c r="BQ41" i="11"/>
  <c r="BP41" i="11"/>
  <c r="BO41" i="11"/>
  <c r="DC40" i="11"/>
  <c r="DB40" i="11"/>
  <c r="DA40" i="11"/>
  <c r="CZ40" i="11"/>
  <c r="CY40" i="11"/>
  <c r="CX40" i="11"/>
  <c r="CW40" i="11"/>
  <c r="CV40" i="11"/>
  <c r="CU40" i="11"/>
  <c r="CT40" i="11"/>
  <c r="CS40" i="11"/>
  <c r="CR40" i="11"/>
  <c r="CQ40" i="11"/>
  <c r="CP40" i="11"/>
  <c r="CO40" i="11"/>
  <c r="CN40" i="11"/>
  <c r="CM40" i="11"/>
  <c r="CL40" i="11"/>
  <c r="CK40" i="11"/>
  <c r="CJ40" i="11"/>
  <c r="CI40" i="11"/>
  <c r="CH40" i="11"/>
  <c r="CG40" i="11"/>
  <c r="CF40" i="11"/>
  <c r="CE40" i="11"/>
  <c r="CD40" i="11"/>
  <c r="CC40" i="11"/>
  <c r="CB40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DC39" i="11"/>
  <c r="DB39" i="11"/>
  <c r="DA39" i="11"/>
  <c r="CZ39" i="11"/>
  <c r="CY39" i="11"/>
  <c r="CX39" i="11"/>
  <c r="CW39" i="11"/>
  <c r="CV39" i="11"/>
  <c r="CU39" i="11"/>
  <c r="CT39" i="11"/>
  <c r="CS39" i="11"/>
  <c r="CR39" i="11"/>
  <c r="CQ39" i="11"/>
  <c r="CP39" i="11"/>
  <c r="CO39" i="11"/>
  <c r="CN39" i="11"/>
  <c r="CM39" i="11"/>
  <c r="CL39" i="11"/>
  <c r="CK39" i="11"/>
  <c r="CJ39" i="11"/>
  <c r="CI39" i="11"/>
  <c r="CH39" i="11"/>
  <c r="CG39" i="11"/>
  <c r="CF39" i="11"/>
  <c r="CE39" i="11"/>
  <c r="CD39" i="11"/>
  <c r="CC39" i="11"/>
  <c r="CB39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DC38" i="11"/>
  <c r="DB38" i="11"/>
  <c r="DA38" i="11"/>
  <c r="CZ38" i="11"/>
  <c r="CY38" i="11"/>
  <c r="CX38" i="11"/>
  <c r="CW38" i="11"/>
  <c r="CV38" i="11"/>
  <c r="CU38" i="11"/>
  <c r="CT38" i="11"/>
  <c r="CS38" i="11"/>
  <c r="CR38" i="11"/>
  <c r="CQ38" i="11"/>
  <c r="CP38" i="11"/>
  <c r="CO38" i="11"/>
  <c r="CN38" i="11"/>
  <c r="CM38" i="11"/>
  <c r="CL38" i="11"/>
  <c r="CK38" i="11"/>
  <c r="CJ38" i="11"/>
  <c r="CI38" i="11"/>
  <c r="CH38" i="11"/>
  <c r="CG38" i="11"/>
  <c r="CF38" i="11"/>
  <c r="CE38" i="11"/>
  <c r="CD38" i="11"/>
  <c r="CC38" i="11"/>
  <c r="CB38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DC37" i="11"/>
  <c r="DB37" i="11"/>
  <c r="DA37" i="11"/>
  <c r="CZ37" i="11"/>
  <c r="CY37" i="11"/>
  <c r="CX37" i="11"/>
  <c r="CW37" i="11"/>
  <c r="CV37" i="11"/>
  <c r="CU37" i="11"/>
  <c r="CT37" i="11"/>
  <c r="CS37" i="11"/>
  <c r="CR37" i="11"/>
  <c r="CQ37" i="11"/>
  <c r="CP37" i="11"/>
  <c r="CO37" i="11"/>
  <c r="CN37" i="11"/>
  <c r="CM37" i="11"/>
  <c r="CL37" i="11"/>
  <c r="CK37" i="11"/>
  <c r="CJ37" i="11"/>
  <c r="CI37" i="11"/>
  <c r="CH37" i="11"/>
  <c r="CG37" i="11"/>
  <c r="CF37" i="11"/>
  <c r="CE37" i="11"/>
  <c r="CD37" i="11"/>
  <c r="CC37" i="11"/>
  <c r="CB37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DC36" i="11"/>
  <c r="DB36" i="11"/>
  <c r="DA36" i="11"/>
  <c r="CZ36" i="11"/>
  <c r="CY36" i="11"/>
  <c r="CX36" i="11"/>
  <c r="CW36" i="11"/>
  <c r="CV36" i="11"/>
  <c r="CU36" i="11"/>
  <c r="CT36" i="11"/>
  <c r="CS36" i="11"/>
  <c r="CR36" i="11"/>
  <c r="CQ36" i="11"/>
  <c r="CP36" i="11"/>
  <c r="CO36" i="11"/>
  <c r="CN36" i="11"/>
  <c r="CM36" i="11"/>
  <c r="CL36" i="11"/>
  <c r="CK36" i="11"/>
  <c r="CJ36" i="11"/>
  <c r="CI36" i="11"/>
  <c r="CH36" i="11"/>
  <c r="CG36" i="11"/>
  <c r="CF36" i="11"/>
  <c r="CE36" i="11"/>
  <c r="CD36" i="11"/>
  <c r="CC36" i="11"/>
  <c r="CB36" i="11"/>
  <c r="CA36" i="11"/>
  <c r="BZ36" i="11"/>
  <c r="BY36" i="11"/>
  <c r="BX36" i="11"/>
  <c r="BW36" i="11"/>
  <c r="BV36" i="11"/>
  <c r="BU36" i="11"/>
  <c r="BT36" i="11"/>
  <c r="BS36" i="11"/>
  <c r="BR36" i="11"/>
  <c r="BQ36" i="11"/>
  <c r="BP36" i="11"/>
  <c r="BO36" i="11"/>
  <c r="BN47" i="11"/>
  <c r="BN46" i="11"/>
  <c r="BN45" i="11"/>
  <c r="BN44" i="11"/>
  <c r="BN43" i="11"/>
  <c r="BN42" i="11"/>
  <c r="BN41" i="11"/>
  <c r="BN40" i="11"/>
  <c r="BN39" i="11"/>
  <c r="BN38" i="11"/>
  <c r="BN37" i="11"/>
  <c r="BN36" i="11"/>
  <c r="BN33" i="11"/>
  <c r="DZ33" i="11"/>
  <c r="BN32" i="11"/>
  <c r="DZ32" i="11"/>
  <c r="BN31" i="11"/>
  <c r="DZ31" i="11"/>
  <c r="BN30" i="11"/>
  <c r="DZ30" i="11"/>
  <c r="BN8" i="11"/>
  <c r="DX27" i="11"/>
  <c r="DW27" i="11"/>
  <c r="DV27" i="11"/>
  <c r="DU27" i="11"/>
  <c r="DT27" i="11"/>
  <c r="DS27" i="11"/>
  <c r="DR27" i="11"/>
  <c r="DQ27" i="11"/>
  <c r="DP27" i="11"/>
  <c r="DO27" i="11"/>
  <c r="DN27" i="11"/>
  <c r="DM27" i="11"/>
  <c r="DL27" i="11"/>
  <c r="DK27" i="11"/>
  <c r="DJ27" i="11"/>
  <c r="DI27" i="11"/>
  <c r="DH27" i="11"/>
  <c r="DG27" i="11"/>
  <c r="DF27" i="11"/>
  <c r="DE27" i="11"/>
  <c r="DD27" i="11"/>
  <c r="DC27" i="11"/>
  <c r="DB27" i="11"/>
  <c r="DA27" i="11"/>
  <c r="CZ27" i="11"/>
  <c r="CY27" i="11"/>
  <c r="CX27" i="11"/>
  <c r="CW27" i="11"/>
  <c r="CV27" i="11"/>
  <c r="CU27" i="11"/>
  <c r="CT27" i="11"/>
  <c r="CS27" i="11"/>
  <c r="CR27" i="11"/>
  <c r="CQ27" i="11"/>
  <c r="CP27" i="11"/>
  <c r="CO27" i="11"/>
  <c r="CN27" i="11"/>
  <c r="CM27" i="11"/>
  <c r="CL27" i="11"/>
  <c r="CK27" i="11"/>
  <c r="CJ27" i="11"/>
  <c r="CI27" i="11"/>
  <c r="CH27" i="11"/>
  <c r="CG27" i="11"/>
  <c r="CF27" i="11"/>
  <c r="CE27" i="11"/>
  <c r="CD27" i="11"/>
  <c r="CC27" i="11"/>
  <c r="CB27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DX26" i="11"/>
  <c r="DW26" i="11"/>
  <c r="DV26" i="11"/>
  <c r="DU26" i="11"/>
  <c r="DT26" i="11"/>
  <c r="DS26" i="11"/>
  <c r="DR26" i="11"/>
  <c r="DQ26" i="11"/>
  <c r="DP26" i="11"/>
  <c r="DO26" i="11"/>
  <c r="DN26" i="11"/>
  <c r="DM26" i="11"/>
  <c r="DL26" i="11"/>
  <c r="DK26" i="11"/>
  <c r="DJ26" i="11"/>
  <c r="DI26" i="11"/>
  <c r="DH26" i="11"/>
  <c r="DG26" i="11"/>
  <c r="DF26" i="11"/>
  <c r="DE26" i="11"/>
  <c r="DD26" i="11"/>
  <c r="DC26" i="11"/>
  <c r="DB26" i="11"/>
  <c r="DA26" i="11"/>
  <c r="CZ26" i="11"/>
  <c r="CY26" i="11"/>
  <c r="CX26" i="11"/>
  <c r="CW26" i="11"/>
  <c r="CV26" i="11"/>
  <c r="CU26" i="11"/>
  <c r="CT26" i="11"/>
  <c r="CS26" i="11"/>
  <c r="CR26" i="11"/>
  <c r="CQ26" i="11"/>
  <c r="CP26" i="11"/>
  <c r="CO26" i="11"/>
  <c r="CN26" i="11"/>
  <c r="CM26" i="11"/>
  <c r="CL26" i="11"/>
  <c r="CK26" i="11"/>
  <c r="CJ26" i="11"/>
  <c r="CI26" i="11"/>
  <c r="CH26" i="11"/>
  <c r="CG26" i="11"/>
  <c r="CF26" i="11"/>
  <c r="CE26" i="11"/>
  <c r="CD26" i="11"/>
  <c r="CC26" i="11"/>
  <c r="CB26" i="11"/>
  <c r="CA26" i="11"/>
  <c r="BZ26" i="11"/>
  <c r="BY26" i="11"/>
  <c r="BX26" i="11"/>
  <c r="BW26" i="11"/>
  <c r="BV26" i="11"/>
  <c r="BU26" i="11"/>
  <c r="BT26" i="11"/>
  <c r="BS26" i="11"/>
  <c r="BR26" i="11"/>
  <c r="BQ26" i="11"/>
  <c r="BP26" i="11"/>
  <c r="BO26" i="11"/>
  <c r="DX25" i="11"/>
  <c r="DW25" i="11"/>
  <c r="DV25" i="11"/>
  <c r="DU25" i="11"/>
  <c r="DT25" i="11"/>
  <c r="DS25" i="11"/>
  <c r="DR25" i="11"/>
  <c r="DQ25" i="11"/>
  <c r="DP25" i="11"/>
  <c r="DO25" i="11"/>
  <c r="DN25" i="11"/>
  <c r="DM25" i="11"/>
  <c r="DL25" i="11"/>
  <c r="DK25" i="11"/>
  <c r="DJ25" i="11"/>
  <c r="DI25" i="11"/>
  <c r="DH25" i="11"/>
  <c r="DG25" i="11"/>
  <c r="DF25" i="11"/>
  <c r="DE25" i="11"/>
  <c r="DD25" i="11"/>
  <c r="DC25" i="11"/>
  <c r="DB25" i="11"/>
  <c r="DA25" i="11"/>
  <c r="CZ25" i="11"/>
  <c r="CY25" i="11"/>
  <c r="CX25" i="11"/>
  <c r="CW25" i="11"/>
  <c r="CV25" i="11"/>
  <c r="CU25" i="11"/>
  <c r="CT25" i="11"/>
  <c r="CS25" i="11"/>
  <c r="CR25" i="11"/>
  <c r="CQ25" i="11"/>
  <c r="CP25" i="11"/>
  <c r="CO25" i="11"/>
  <c r="CN25" i="11"/>
  <c r="CM25" i="11"/>
  <c r="CL25" i="11"/>
  <c r="CK25" i="11"/>
  <c r="CJ25" i="11"/>
  <c r="CI25" i="11"/>
  <c r="CH25" i="11"/>
  <c r="CG25" i="11"/>
  <c r="CF25" i="11"/>
  <c r="CE25" i="11"/>
  <c r="CD25" i="11"/>
  <c r="CC25" i="11"/>
  <c r="CB25" i="11"/>
  <c r="CA25" i="11"/>
  <c r="BZ25" i="11"/>
  <c r="BY25" i="11"/>
  <c r="BX25" i="11"/>
  <c r="BW25" i="11"/>
  <c r="BV25" i="11"/>
  <c r="BU25" i="11"/>
  <c r="BT25" i="11"/>
  <c r="BS25" i="11"/>
  <c r="BR25" i="11"/>
  <c r="BQ25" i="11"/>
  <c r="BP25" i="11"/>
  <c r="BO25" i="11"/>
  <c r="DX24" i="11"/>
  <c r="DW24" i="11"/>
  <c r="DV24" i="11"/>
  <c r="DU24" i="11"/>
  <c r="DT24" i="11"/>
  <c r="DS24" i="11"/>
  <c r="DR24" i="11"/>
  <c r="DQ24" i="11"/>
  <c r="DP24" i="11"/>
  <c r="DO24" i="11"/>
  <c r="DN24" i="11"/>
  <c r="DM24" i="11"/>
  <c r="DL24" i="11"/>
  <c r="DK24" i="11"/>
  <c r="DJ24" i="11"/>
  <c r="DI24" i="11"/>
  <c r="DH24" i="11"/>
  <c r="DG24" i="11"/>
  <c r="DF24" i="11"/>
  <c r="DE24" i="11"/>
  <c r="DD24" i="11"/>
  <c r="DC24" i="11"/>
  <c r="DB24" i="11"/>
  <c r="DA24" i="11"/>
  <c r="CZ24" i="11"/>
  <c r="CY24" i="11"/>
  <c r="CX24" i="11"/>
  <c r="CW24" i="11"/>
  <c r="CV24" i="11"/>
  <c r="CU24" i="11"/>
  <c r="CT24" i="11"/>
  <c r="CS24" i="11"/>
  <c r="CR24" i="11"/>
  <c r="CQ24" i="11"/>
  <c r="CP24" i="11"/>
  <c r="CO24" i="11"/>
  <c r="CN24" i="11"/>
  <c r="CM24" i="11"/>
  <c r="CL24" i="11"/>
  <c r="CK24" i="11"/>
  <c r="CJ24" i="11"/>
  <c r="CI24" i="11"/>
  <c r="CH24" i="11"/>
  <c r="CG24" i="11"/>
  <c r="CF24" i="11"/>
  <c r="CE24" i="11"/>
  <c r="CD24" i="11"/>
  <c r="CC24" i="11"/>
  <c r="CB24" i="11"/>
  <c r="CA24" i="1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DX23" i="11"/>
  <c r="DW23" i="11"/>
  <c r="DV23" i="11"/>
  <c r="DU23" i="11"/>
  <c r="DT23" i="11"/>
  <c r="DS23" i="11"/>
  <c r="DR23" i="11"/>
  <c r="DQ23" i="11"/>
  <c r="DP23" i="11"/>
  <c r="DO23" i="11"/>
  <c r="DN23" i="11"/>
  <c r="DM23" i="11"/>
  <c r="DL23" i="11"/>
  <c r="DK23" i="11"/>
  <c r="DJ23" i="11"/>
  <c r="DI23" i="11"/>
  <c r="DH23" i="11"/>
  <c r="DG23" i="11"/>
  <c r="DF23" i="11"/>
  <c r="DE23" i="11"/>
  <c r="DD23" i="11"/>
  <c r="DC23" i="11"/>
  <c r="DB23" i="11"/>
  <c r="DA23" i="11"/>
  <c r="CZ23" i="11"/>
  <c r="CY23" i="11"/>
  <c r="CX23" i="11"/>
  <c r="CW23" i="11"/>
  <c r="CV23" i="11"/>
  <c r="CU23" i="11"/>
  <c r="CT23" i="11"/>
  <c r="CS23" i="11"/>
  <c r="CR23" i="11"/>
  <c r="CQ23" i="11"/>
  <c r="CP23" i="11"/>
  <c r="CO23" i="11"/>
  <c r="CN23" i="11"/>
  <c r="CM23" i="11"/>
  <c r="CL23" i="11"/>
  <c r="CK23" i="11"/>
  <c r="CJ23" i="11"/>
  <c r="CI23" i="11"/>
  <c r="CH23" i="11"/>
  <c r="CG23" i="11"/>
  <c r="CF23" i="11"/>
  <c r="CE23" i="11"/>
  <c r="CD23" i="11"/>
  <c r="CC23" i="11"/>
  <c r="CB23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DX22" i="11"/>
  <c r="DW22" i="11"/>
  <c r="DV22" i="11"/>
  <c r="DU22" i="11"/>
  <c r="DT22" i="11"/>
  <c r="DS22" i="11"/>
  <c r="DR22" i="11"/>
  <c r="DQ22" i="11"/>
  <c r="DP22" i="11"/>
  <c r="DO22" i="11"/>
  <c r="DN22" i="11"/>
  <c r="DM22" i="11"/>
  <c r="DL22" i="11"/>
  <c r="DK22" i="11"/>
  <c r="DJ22" i="11"/>
  <c r="DI22" i="11"/>
  <c r="DH22" i="11"/>
  <c r="DG22" i="11"/>
  <c r="DF22" i="11"/>
  <c r="DE22" i="11"/>
  <c r="DD22" i="11"/>
  <c r="DC22" i="11"/>
  <c r="DB22" i="11"/>
  <c r="DA22" i="11"/>
  <c r="CZ22" i="11"/>
  <c r="CY22" i="11"/>
  <c r="CX22" i="11"/>
  <c r="CW22" i="11"/>
  <c r="CV22" i="11"/>
  <c r="CU22" i="11"/>
  <c r="CT22" i="11"/>
  <c r="CS22" i="11"/>
  <c r="CR22" i="11"/>
  <c r="CQ22" i="11"/>
  <c r="CP22" i="11"/>
  <c r="CO22" i="11"/>
  <c r="CN22" i="11"/>
  <c r="CM22" i="11"/>
  <c r="CL22" i="11"/>
  <c r="CK22" i="11"/>
  <c r="CJ22" i="11"/>
  <c r="CI22" i="11"/>
  <c r="CH22" i="11"/>
  <c r="CG22" i="11"/>
  <c r="CF22" i="11"/>
  <c r="CE22" i="11"/>
  <c r="CD22" i="11"/>
  <c r="CC22" i="11"/>
  <c r="CB22" i="11"/>
  <c r="CA22" i="11"/>
  <c r="BZ22" i="11"/>
  <c r="BY22" i="11"/>
  <c r="BX22" i="11"/>
  <c r="BW22" i="11"/>
  <c r="BV22" i="11"/>
  <c r="BU22" i="11"/>
  <c r="BT22" i="11"/>
  <c r="BS22" i="11"/>
  <c r="BR22" i="11"/>
  <c r="BQ22" i="11"/>
  <c r="BP22" i="11"/>
  <c r="BO22" i="11"/>
  <c r="DX21" i="11"/>
  <c r="DW21" i="11"/>
  <c r="DV21" i="11"/>
  <c r="DU21" i="11"/>
  <c r="DT21" i="11"/>
  <c r="DS21" i="11"/>
  <c r="DR21" i="11"/>
  <c r="DQ21" i="11"/>
  <c r="DP21" i="11"/>
  <c r="DO21" i="11"/>
  <c r="DN21" i="11"/>
  <c r="DM21" i="11"/>
  <c r="DL21" i="11"/>
  <c r="DK21" i="11"/>
  <c r="DJ21" i="11"/>
  <c r="DI21" i="11"/>
  <c r="DH21" i="11"/>
  <c r="DG21" i="11"/>
  <c r="DF21" i="11"/>
  <c r="DE21" i="11"/>
  <c r="DD21" i="11"/>
  <c r="DC21" i="11"/>
  <c r="DB21" i="11"/>
  <c r="DA21" i="11"/>
  <c r="CZ21" i="11"/>
  <c r="CY21" i="11"/>
  <c r="CX21" i="11"/>
  <c r="CW21" i="11"/>
  <c r="CV21" i="11"/>
  <c r="CU21" i="11"/>
  <c r="CT21" i="11"/>
  <c r="CS21" i="11"/>
  <c r="CR21" i="11"/>
  <c r="CQ21" i="11"/>
  <c r="CP21" i="11"/>
  <c r="CO21" i="11"/>
  <c r="CN21" i="11"/>
  <c r="CM21" i="11"/>
  <c r="CL21" i="11"/>
  <c r="CK21" i="11"/>
  <c r="CJ21" i="11"/>
  <c r="CI21" i="11"/>
  <c r="CH21" i="11"/>
  <c r="CG21" i="11"/>
  <c r="CF21" i="11"/>
  <c r="CE21" i="11"/>
  <c r="CD21" i="11"/>
  <c r="CC21" i="11"/>
  <c r="CB21" i="11"/>
  <c r="CA21" i="11"/>
  <c r="BZ21" i="11"/>
  <c r="BY21" i="11"/>
  <c r="BX21" i="11"/>
  <c r="BW21" i="11"/>
  <c r="BV21" i="11"/>
  <c r="BU21" i="11"/>
  <c r="BT21" i="11"/>
  <c r="BS21" i="11"/>
  <c r="BR21" i="11"/>
  <c r="BQ21" i="11"/>
  <c r="BP21" i="11"/>
  <c r="BO21" i="11"/>
  <c r="DX20" i="11"/>
  <c r="DW20" i="11"/>
  <c r="DV20" i="11"/>
  <c r="DU20" i="11"/>
  <c r="DT20" i="11"/>
  <c r="DS20" i="11"/>
  <c r="DR20" i="11"/>
  <c r="DQ20" i="11"/>
  <c r="DP20" i="11"/>
  <c r="DO20" i="11"/>
  <c r="DN20" i="11"/>
  <c r="DM20" i="11"/>
  <c r="DL20" i="11"/>
  <c r="DK20" i="11"/>
  <c r="DJ20" i="11"/>
  <c r="DI20" i="11"/>
  <c r="DH20" i="11"/>
  <c r="DG20" i="11"/>
  <c r="DF20" i="11"/>
  <c r="DE20" i="11"/>
  <c r="DD20" i="11"/>
  <c r="DC20" i="11"/>
  <c r="DB20" i="11"/>
  <c r="DA20" i="11"/>
  <c r="CZ20" i="11"/>
  <c r="CY20" i="11"/>
  <c r="CX20" i="11"/>
  <c r="CW20" i="11"/>
  <c r="CV20" i="11"/>
  <c r="CU20" i="11"/>
  <c r="CT20" i="11"/>
  <c r="CS20" i="11"/>
  <c r="CR20" i="11"/>
  <c r="CQ20" i="11"/>
  <c r="CP20" i="11"/>
  <c r="CO20" i="11"/>
  <c r="CN20" i="11"/>
  <c r="CM20" i="11"/>
  <c r="CL20" i="11"/>
  <c r="CK20" i="11"/>
  <c r="CJ20" i="11"/>
  <c r="CI20" i="11"/>
  <c r="CH20" i="11"/>
  <c r="CG20" i="11"/>
  <c r="CF20" i="11"/>
  <c r="CE20" i="11"/>
  <c r="CD20" i="11"/>
  <c r="CC20" i="11"/>
  <c r="CB20" i="11"/>
  <c r="CA20" i="11"/>
  <c r="BZ20" i="11"/>
  <c r="BY20" i="11"/>
  <c r="BX20" i="11"/>
  <c r="BW20" i="11"/>
  <c r="BV20" i="11"/>
  <c r="BU20" i="11"/>
  <c r="BT20" i="11"/>
  <c r="BS20" i="11"/>
  <c r="BR20" i="11"/>
  <c r="BQ20" i="11"/>
  <c r="BP20" i="11"/>
  <c r="BO20" i="11"/>
  <c r="DX19" i="11"/>
  <c r="DW19" i="11"/>
  <c r="DV19" i="11"/>
  <c r="DU19" i="11"/>
  <c r="DT19" i="11"/>
  <c r="DS19" i="11"/>
  <c r="DR19" i="11"/>
  <c r="DQ19" i="11"/>
  <c r="DP19" i="11"/>
  <c r="DO19" i="11"/>
  <c r="DN19" i="11"/>
  <c r="DM19" i="11"/>
  <c r="DL19" i="11"/>
  <c r="DK19" i="11"/>
  <c r="DJ19" i="11"/>
  <c r="DI19" i="11"/>
  <c r="DH19" i="11"/>
  <c r="DG19" i="11"/>
  <c r="DF19" i="11"/>
  <c r="DE19" i="11"/>
  <c r="DD19" i="11"/>
  <c r="DC19" i="11"/>
  <c r="DB19" i="11"/>
  <c r="DA19" i="11"/>
  <c r="CZ19" i="11"/>
  <c r="CY19" i="11"/>
  <c r="CX19" i="11"/>
  <c r="CW19" i="11"/>
  <c r="CV19" i="11"/>
  <c r="CU19" i="11"/>
  <c r="CT19" i="11"/>
  <c r="CS19" i="11"/>
  <c r="CR19" i="11"/>
  <c r="CQ19" i="11"/>
  <c r="CP19" i="11"/>
  <c r="CO19" i="11"/>
  <c r="CN19" i="11"/>
  <c r="CM19" i="11"/>
  <c r="CL19" i="11"/>
  <c r="CK19" i="11"/>
  <c r="CJ19" i="11"/>
  <c r="CI19" i="11"/>
  <c r="CH19" i="11"/>
  <c r="CG19" i="11"/>
  <c r="CF19" i="11"/>
  <c r="CE19" i="11"/>
  <c r="CD19" i="11"/>
  <c r="CC19" i="11"/>
  <c r="CB19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DX18" i="11"/>
  <c r="DW18" i="11"/>
  <c r="DV18" i="11"/>
  <c r="DU18" i="11"/>
  <c r="DT18" i="11"/>
  <c r="DS18" i="11"/>
  <c r="DR18" i="11"/>
  <c r="DQ18" i="11"/>
  <c r="DP18" i="11"/>
  <c r="DO18" i="11"/>
  <c r="DN18" i="11"/>
  <c r="DM18" i="11"/>
  <c r="DL18" i="11"/>
  <c r="DK18" i="11"/>
  <c r="DJ18" i="11"/>
  <c r="DI18" i="11"/>
  <c r="DH18" i="11"/>
  <c r="DG18" i="11"/>
  <c r="DF18" i="11"/>
  <c r="DE18" i="11"/>
  <c r="DD18" i="11"/>
  <c r="DC18" i="11"/>
  <c r="DB18" i="11"/>
  <c r="DA18" i="11"/>
  <c r="CZ18" i="11"/>
  <c r="CY18" i="11"/>
  <c r="CX18" i="11"/>
  <c r="CW18" i="11"/>
  <c r="CV18" i="11"/>
  <c r="CU18" i="11"/>
  <c r="CT18" i="11"/>
  <c r="CS18" i="11"/>
  <c r="CR18" i="11"/>
  <c r="CQ18" i="11"/>
  <c r="CP18" i="11"/>
  <c r="CO18" i="11"/>
  <c r="CN18" i="11"/>
  <c r="CM18" i="11"/>
  <c r="CL18" i="11"/>
  <c r="CK18" i="11"/>
  <c r="CJ18" i="11"/>
  <c r="CI18" i="11"/>
  <c r="CH18" i="11"/>
  <c r="CG18" i="11"/>
  <c r="CF18" i="11"/>
  <c r="CE18" i="11"/>
  <c r="CD18" i="11"/>
  <c r="CC18" i="11"/>
  <c r="CB18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DX17" i="11"/>
  <c r="DW17" i="11"/>
  <c r="DV17" i="11"/>
  <c r="DU17" i="11"/>
  <c r="DT17" i="11"/>
  <c r="DS17" i="11"/>
  <c r="DR17" i="11"/>
  <c r="DQ17" i="11"/>
  <c r="DP17" i="11"/>
  <c r="DO17" i="11"/>
  <c r="DN17" i="11"/>
  <c r="DM17" i="11"/>
  <c r="DL17" i="11"/>
  <c r="DK17" i="11"/>
  <c r="DJ17" i="11"/>
  <c r="DI17" i="11"/>
  <c r="DH17" i="11"/>
  <c r="DG17" i="11"/>
  <c r="DF17" i="11"/>
  <c r="DE17" i="11"/>
  <c r="DD17" i="11"/>
  <c r="DC17" i="11"/>
  <c r="DB17" i="11"/>
  <c r="DA17" i="11"/>
  <c r="CZ17" i="11"/>
  <c r="CY17" i="11"/>
  <c r="CX17" i="11"/>
  <c r="CW17" i="11"/>
  <c r="CV17" i="11"/>
  <c r="CU17" i="11"/>
  <c r="CT17" i="11"/>
  <c r="CS17" i="11"/>
  <c r="CR17" i="11"/>
  <c r="CQ17" i="11"/>
  <c r="CP17" i="11"/>
  <c r="CO17" i="11"/>
  <c r="CN17" i="11"/>
  <c r="CM17" i="11"/>
  <c r="CL17" i="11"/>
  <c r="CK17" i="11"/>
  <c r="CJ17" i="11"/>
  <c r="CI17" i="11"/>
  <c r="CH17" i="11"/>
  <c r="CG17" i="11"/>
  <c r="CF17" i="11"/>
  <c r="CE17" i="11"/>
  <c r="CD17" i="11"/>
  <c r="CC17" i="11"/>
  <c r="CB17" i="11"/>
  <c r="CA17" i="11"/>
  <c r="BZ17" i="11"/>
  <c r="BY17" i="11"/>
  <c r="BX17" i="11"/>
  <c r="BW17" i="11"/>
  <c r="BV17" i="11"/>
  <c r="BU17" i="11"/>
  <c r="BT17" i="11"/>
  <c r="BS17" i="11"/>
  <c r="BR17" i="11"/>
  <c r="BQ17" i="11"/>
  <c r="BP17" i="11"/>
  <c r="BO17" i="11"/>
  <c r="DX16" i="11"/>
  <c r="DW16" i="11"/>
  <c r="DV16" i="11"/>
  <c r="DU16" i="11"/>
  <c r="DT16" i="11"/>
  <c r="DS16" i="11"/>
  <c r="DR16" i="11"/>
  <c r="DQ16" i="11"/>
  <c r="DP16" i="11"/>
  <c r="DO16" i="11"/>
  <c r="DN16" i="11"/>
  <c r="DM16" i="11"/>
  <c r="DL16" i="11"/>
  <c r="DK16" i="11"/>
  <c r="DJ16" i="11"/>
  <c r="DI16" i="11"/>
  <c r="DH16" i="11"/>
  <c r="DG16" i="11"/>
  <c r="DF16" i="11"/>
  <c r="DE16" i="11"/>
  <c r="DD16" i="11"/>
  <c r="DC16" i="11"/>
  <c r="DB16" i="11"/>
  <c r="DA16" i="11"/>
  <c r="CZ16" i="11"/>
  <c r="CY16" i="11"/>
  <c r="CX16" i="11"/>
  <c r="CW16" i="11"/>
  <c r="CV16" i="11"/>
  <c r="CU16" i="11"/>
  <c r="CT16" i="11"/>
  <c r="CS16" i="11"/>
  <c r="CR16" i="11"/>
  <c r="CQ16" i="11"/>
  <c r="CP16" i="11"/>
  <c r="CO16" i="11"/>
  <c r="CN16" i="11"/>
  <c r="CM16" i="11"/>
  <c r="CL16" i="11"/>
  <c r="CK16" i="11"/>
  <c r="CJ16" i="11"/>
  <c r="CI16" i="11"/>
  <c r="CH16" i="11"/>
  <c r="CG16" i="11"/>
  <c r="CF16" i="11"/>
  <c r="CE16" i="11"/>
  <c r="CD16" i="11"/>
  <c r="CC16" i="11"/>
  <c r="CB16" i="11"/>
  <c r="CA16" i="11"/>
  <c r="BZ16" i="11"/>
  <c r="BY16" i="11"/>
  <c r="BX16" i="11"/>
  <c r="BW16" i="11"/>
  <c r="BV16" i="11"/>
  <c r="BU16" i="11"/>
  <c r="BT16" i="11"/>
  <c r="BS16" i="11"/>
  <c r="BR16" i="11"/>
  <c r="BQ16" i="11"/>
  <c r="BP16" i="11"/>
  <c r="BO16" i="11"/>
  <c r="DX15" i="11"/>
  <c r="DW15" i="11"/>
  <c r="DV15" i="11"/>
  <c r="DU15" i="11"/>
  <c r="DT15" i="11"/>
  <c r="DS15" i="11"/>
  <c r="DR15" i="11"/>
  <c r="DQ15" i="11"/>
  <c r="DP15" i="11"/>
  <c r="DO15" i="11"/>
  <c r="DN15" i="11"/>
  <c r="DM15" i="11"/>
  <c r="DL15" i="11"/>
  <c r="DK15" i="11"/>
  <c r="DJ15" i="11"/>
  <c r="DI15" i="11"/>
  <c r="DH15" i="11"/>
  <c r="DG15" i="11"/>
  <c r="DF15" i="11"/>
  <c r="DE15" i="11"/>
  <c r="DD15" i="11"/>
  <c r="DC15" i="11"/>
  <c r="DB15" i="11"/>
  <c r="DA15" i="11"/>
  <c r="CZ15" i="11"/>
  <c r="CY15" i="11"/>
  <c r="CX15" i="11"/>
  <c r="CW15" i="11"/>
  <c r="CV15" i="11"/>
  <c r="CU15" i="11"/>
  <c r="CT15" i="11"/>
  <c r="CS15" i="11"/>
  <c r="CR15" i="11"/>
  <c r="CQ15" i="11"/>
  <c r="CP15" i="11"/>
  <c r="CO15" i="11"/>
  <c r="CN15" i="11"/>
  <c r="CM15" i="11"/>
  <c r="CL15" i="11"/>
  <c r="CK15" i="11"/>
  <c r="CJ15" i="11"/>
  <c r="CI15" i="11"/>
  <c r="CH15" i="11"/>
  <c r="CG15" i="11"/>
  <c r="CF15" i="11"/>
  <c r="CE15" i="11"/>
  <c r="CD15" i="11"/>
  <c r="CC15" i="11"/>
  <c r="CB15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DX14" i="11"/>
  <c r="DW14" i="11"/>
  <c r="DV14" i="11"/>
  <c r="DU14" i="11"/>
  <c r="DT14" i="11"/>
  <c r="DS14" i="11"/>
  <c r="DR14" i="11"/>
  <c r="DQ14" i="11"/>
  <c r="DP14" i="11"/>
  <c r="DO14" i="11"/>
  <c r="DN14" i="11"/>
  <c r="DM14" i="11"/>
  <c r="DL14" i="11"/>
  <c r="DK14" i="11"/>
  <c r="DJ14" i="11"/>
  <c r="DI14" i="11"/>
  <c r="DH14" i="11"/>
  <c r="DG14" i="11"/>
  <c r="DF14" i="11"/>
  <c r="DE14" i="11"/>
  <c r="DD14" i="11"/>
  <c r="DC14" i="11"/>
  <c r="DB14" i="11"/>
  <c r="DA14" i="11"/>
  <c r="CZ14" i="11"/>
  <c r="CY14" i="11"/>
  <c r="CX14" i="11"/>
  <c r="CW14" i="11"/>
  <c r="CV14" i="11"/>
  <c r="CU14" i="11"/>
  <c r="CT14" i="11"/>
  <c r="CS14" i="11"/>
  <c r="CR14" i="11"/>
  <c r="CQ14" i="11"/>
  <c r="CP14" i="11"/>
  <c r="CO14" i="11"/>
  <c r="CN14" i="11"/>
  <c r="CM14" i="11"/>
  <c r="CL14" i="11"/>
  <c r="CK14" i="11"/>
  <c r="CJ14" i="11"/>
  <c r="CI14" i="11"/>
  <c r="CH14" i="11"/>
  <c r="CG14" i="11"/>
  <c r="CF14" i="11"/>
  <c r="CE14" i="11"/>
  <c r="CD14" i="11"/>
  <c r="CC14" i="11"/>
  <c r="CB14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DX13" i="11"/>
  <c r="DW13" i="11"/>
  <c r="DV13" i="11"/>
  <c r="DU13" i="11"/>
  <c r="DT13" i="11"/>
  <c r="DS13" i="11"/>
  <c r="DR13" i="11"/>
  <c r="DQ13" i="11"/>
  <c r="DP13" i="11"/>
  <c r="DO13" i="11"/>
  <c r="DN13" i="11"/>
  <c r="DM13" i="11"/>
  <c r="DL13" i="11"/>
  <c r="DK13" i="11"/>
  <c r="DJ13" i="11"/>
  <c r="DI13" i="11"/>
  <c r="DH13" i="11"/>
  <c r="DG13" i="11"/>
  <c r="DF13" i="11"/>
  <c r="DE13" i="11"/>
  <c r="DD13" i="11"/>
  <c r="DC13" i="11"/>
  <c r="DB13" i="11"/>
  <c r="DA13" i="11"/>
  <c r="CZ13" i="11"/>
  <c r="CY13" i="11"/>
  <c r="CX13" i="11"/>
  <c r="CW13" i="11"/>
  <c r="CV13" i="11"/>
  <c r="CU13" i="11"/>
  <c r="CT13" i="11"/>
  <c r="CS13" i="11"/>
  <c r="CR13" i="11"/>
  <c r="CQ13" i="11"/>
  <c r="CP13" i="11"/>
  <c r="CO13" i="11"/>
  <c r="CN13" i="11"/>
  <c r="CM13" i="11"/>
  <c r="CL13" i="11"/>
  <c r="CK13" i="11"/>
  <c r="CJ13" i="11"/>
  <c r="CI13" i="11"/>
  <c r="CH13" i="11"/>
  <c r="CG13" i="11"/>
  <c r="CF13" i="11"/>
  <c r="CE13" i="11"/>
  <c r="CD13" i="11"/>
  <c r="CC13" i="11"/>
  <c r="CB13" i="11"/>
  <c r="CA13" i="11"/>
  <c r="BZ13" i="11"/>
  <c r="BY13" i="11"/>
  <c r="BX13" i="11"/>
  <c r="BW13" i="11"/>
  <c r="BV13" i="11"/>
  <c r="BU13" i="11"/>
  <c r="BT13" i="11"/>
  <c r="BS13" i="11"/>
  <c r="BR13" i="11"/>
  <c r="BQ13" i="11"/>
  <c r="BP13" i="11"/>
  <c r="BO13" i="11"/>
  <c r="DX12" i="11"/>
  <c r="DW12" i="11"/>
  <c r="DV12" i="11"/>
  <c r="DU12" i="11"/>
  <c r="DT12" i="11"/>
  <c r="DS12" i="11"/>
  <c r="DR12" i="11"/>
  <c r="DQ12" i="11"/>
  <c r="DP12" i="11"/>
  <c r="DO12" i="11"/>
  <c r="DN12" i="11"/>
  <c r="DM12" i="11"/>
  <c r="DL12" i="11"/>
  <c r="DK12" i="11"/>
  <c r="DJ12" i="11"/>
  <c r="DI12" i="11"/>
  <c r="DH12" i="11"/>
  <c r="DG12" i="11"/>
  <c r="DF12" i="11"/>
  <c r="DE12" i="11"/>
  <c r="DD12" i="11"/>
  <c r="DC12" i="11"/>
  <c r="DB12" i="11"/>
  <c r="DA12" i="11"/>
  <c r="CZ12" i="11"/>
  <c r="CY12" i="11"/>
  <c r="CX12" i="11"/>
  <c r="CW12" i="11"/>
  <c r="CV12" i="11"/>
  <c r="CU12" i="11"/>
  <c r="CT12" i="11"/>
  <c r="CS12" i="11"/>
  <c r="CR12" i="11"/>
  <c r="CQ12" i="11"/>
  <c r="CP12" i="11"/>
  <c r="CO12" i="11"/>
  <c r="CN12" i="11"/>
  <c r="CM12" i="11"/>
  <c r="CL12" i="11"/>
  <c r="CK12" i="11"/>
  <c r="CJ12" i="11"/>
  <c r="CI12" i="11"/>
  <c r="CH12" i="11"/>
  <c r="CG12" i="11"/>
  <c r="CF12" i="11"/>
  <c r="CE12" i="11"/>
  <c r="CD12" i="11"/>
  <c r="CC12" i="11"/>
  <c r="CB12" i="11"/>
  <c r="CA12" i="11"/>
  <c r="BZ12" i="11"/>
  <c r="BY12" i="11"/>
  <c r="BX12" i="11"/>
  <c r="BW12" i="11"/>
  <c r="BV12" i="11"/>
  <c r="BU12" i="11"/>
  <c r="BT12" i="11"/>
  <c r="BS12" i="11"/>
  <c r="BR12" i="11"/>
  <c r="BQ12" i="11"/>
  <c r="BP12" i="11"/>
  <c r="BO12" i="11"/>
  <c r="DX11" i="11"/>
  <c r="DW11" i="11"/>
  <c r="DV11" i="11"/>
  <c r="DU11" i="11"/>
  <c r="DT11" i="11"/>
  <c r="DS11" i="11"/>
  <c r="DR11" i="11"/>
  <c r="DQ11" i="11"/>
  <c r="DP11" i="11"/>
  <c r="DO11" i="11"/>
  <c r="DN11" i="11"/>
  <c r="DM11" i="11"/>
  <c r="DL11" i="11"/>
  <c r="DK11" i="11"/>
  <c r="DJ11" i="11"/>
  <c r="DI11" i="11"/>
  <c r="DH11" i="11"/>
  <c r="DG11" i="11"/>
  <c r="DF11" i="11"/>
  <c r="DE11" i="11"/>
  <c r="DD11" i="11"/>
  <c r="DC11" i="11"/>
  <c r="DB11" i="11"/>
  <c r="DA11" i="11"/>
  <c r="CZ11" i="11"/>
  <c r="CY11" i="11"/>
  <c r="CX11" i="11"/>
  <c r="CW11" i="11"/>
  <c r="CV11" i="11"/>
  <c r="CU11" i="11"/>
  <c r="CT11" i="11"/>
  <c r="CS11" i="11"/>
  <c r="CR11" i="11"/>
  <c r="CQ11" i="11"/>
  <c r="CP11" i="11"/>
  <c r="CO11" i="11"/>
  <c r="CN11" i="11"/>
  <c r="CM11" i="11"/>
  <c r="CL11" i="11"/>
  <c r="CK11" i="11"/>
  <c r="CJ11" i="11"/>
  <c r="CI11" i="11"/>
  <c r="CH11" i="11"/>
  <c r="CG11" i="11"/>
  <c r="CF11" i="11"/>
  <c r="CE11" i="11"/>
  <c r="CD11" i="11"/>
  <c r="CC11" i="11"/>
  <c r="CB11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DX10" i="11"/>
  <c r="DW10" i="11"/>
  <c r="DV10" i="11"/>
  <c r="DU10" i="11"/>
  <c r="DT10" i="11"/>
  <c r="DS10" i="11"/>
  <c r="DR10" i="11"/>
  <c r="DQ10" i="11"/>
  <c r="DP10" i="11"/>
  <c r="DO10" i="11"/>
  <c r="DN10" i="11"/>
  <c r="DM10" i="11"/>
  <c r="DL10" i="11"/>
  <c r="DK10" i="11"/>
  <c r="DJ10" i="11"/>
  <c r="DI10" i="11"/>
  <c r="DH10" i="11"/>
  <c r="DG10" i="11"/>
  <c r="DF10" i="11"/>
  <c r="DE10" i="11"/>
  <c r="DD10" i="11"/>
  <c r="DC10" i="11"/>
  <c r="DB10" i="11"/>
  <c r="DA10" i="11"/>
  <c r="CZ10" i="11"/>
  <c r="CY10" i="11"/>
  <c r="CX10" i="11"/>
  <c r="CW10" i="11"/>
  <c r="CV10" i="11"/>
  <c r="CU10" i="11"/>
  <c r="CT10" i="11"/>
  <c r="CS10" i="11"/>
  <c r="CR10" i="11"/>
  <c r="CQ10" i="11"/>
  <c r="CP10" i="11"/>
  <c r="CO10" i="11"/>
  <c r="CN10" i="11"/>
  <c r="CM10" i="11"/>
  <c r="CL10" i="11"/>
  <c r="CK10" i="11"/>
  <c r="CJ10" i="11"/>
  <c r="CI10" i="11"/>
  <c r="CH10" i="11"/>
  <c r="CG10" i="11"/>
  <c r="CF10" i="11"/>
  <c r="CE10" i="11"/>
  <c r="CD10" i="11"/>
  <c r="CC10" i="11"/>
  <c r="CB10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DX9" i="11"/>
  <c r="DW9" i="11"/>
  <c r="DV9" i="11"/>
  <c r="DU9" i="11"/>
  <c r="DT9" i="11"/>
  <c r="DS9" i="11"/>
  <c r="DR9" i="11"/>
  <c r="DQ9" i="11"/>
  <c r="DP9" i="11"/>
  <c r="DO9" i="11"/>
  <c r="DN9" i="11"/>
  <c r="DM9" i="11"/>
  <c r="DL9" i="11"/>
  <c r="DK9" i="11"/>
  <c r="DJ9" i="11"/>
  <c r="DI9" i="11"/>
  <c r="DH9" i="11"/>
  <c r="DG9" i="11"/>
  <c r="DF9" i="11"/>
  <c r="DE9" i="11"/>
  <c r="DD9" i="11"/>
  <c r="DC9" i="11"/>
  <c r="DB9" i="11"/>
  <c r="DA9" i="11"/>
  <c r="CZ9" i="11"/>
  <c r="CY9" i="11"/>
  <c r="CX9" i="11"/>
  <c r="CW9" i="11"/>
  <c r="CV9" i="11"/>
  <c r="CU9" i="11"/>
  <c r="CT9" i="11"/>
  <c r="CS9" i="11"/>
  <c r="CR9" i="11"/>
  <c r="CQ9" i="11"/>
  <c r="CP9" i="11"/>
  <c r="CO9" i="11"/>
  <c r="CN9" i="11"/>
  <c r="CM9" i="11"/>
  <c r="CL9" i="11"/>
  <c r="CK9" i="11"/>
  <c r="CJ9" i="11"/>
  <c r="CI9" i="11"/>
  <c r="CH9" i="11"/>
  <c r="CG9" i="11"/>
  <c r="CF9" i="11"/>
  <c r="CE9" i="11"/>
  <c r="CD9" i="11"/>
  <c r="CC9" i="11"/>
  <c r="CB9" i="11"/>
  <c r="CA9" i="11"/>
  <c r="BZ9" i="11"/>
  <c r="BY9" i="11"/>
  <c r="BX9" i="11"/>
  <c r="BW9" i="11"/>
  <c r="BV9" i="11"/>
  <c r="BU9" i="11"/>
  <c r="BT9" i="11"/>
  <c r="BS9" i="11"/>
  <c r="BR9" i="11"/>
  <c r="BQ9" i="11"/>
  <c r="BP9" i="11"/>
  <c r="BO9" i="11"/>
  <c r="DX8" i="11"/>
  <c r="DW8" i="11"/>
  <c r="DV8" i="11"/>
  <c r="DU8" i="11"/>
  <c r="DT8" i="11"/>
  <c r="DS8" i="11"/>
  <c r="DR8" i="11"/>
  <c r="DQ8" i="11"/>
  <c r="DP8" i="11"/>
  <c r="DO8" i="11"/>
  <c r="DN8" i="11"/>
  <c r="DM8" i="11"/>
  <c r="DL8" i="11"/>
  <c r="DK8" i="11"/>
  <c r="DJ8" i="11"/>
  <c r="DI8" i="11"/>
  <c r="DH8" i="11"/>
  <c r="DG8" i="11"/>
  <c r="DF8" i="11"/>
  <c r="DE8" i="11"/>
  <c r="DD8" i="11"/>
  <c r="DC8" i="11"/>
  <c r="DB8" i="11"/>
  <c r="DA8" i="11"/>
  <c r="CZ8" i="11"/>
  <c r="CY8" i="11"/>
  <c r="CX8" i="11"/>
  <c r="CW8" i="11"/>
  <c r="CV8" i="11"/>
  <c r="CU8" i="11"/>
  <c r="CT8" i="11"/>
  <c r="CS8" i="11"/>
  <c r="CR8" i="11"/>
  <c r="CQ8" i="11"/>
  <c r="CP8" i="11"/>
  <c r="CO8" i="11"/>
  <c r="CN8" i="11"/>
  <c r="CM8" i="11"/>
  <c r="CL8" i="11"/>
  <c r="CK8" i="11"/>
  <c r="CJ8" i="11"/>
  <c r="CI8" i="11"/>
  <c r="CH8" i="11"/>
  <c r="CG8" i="11"/>
  <c r="CF8" i="11"/>
  <c r="CE8" i="11"/>
  <c r="CD8" i="11"/>
  <c r="CC8" i="11"/>
  <c r="CB8" i="11"/>
  <c r="CA8" i="11"/>
  <c r="BZ8" i="11"/>
  <c r="BY8" i="11"/>
  <c r="BX8" i="11"/>
  <c r="BW8" i="11"/>
  <c r="BV8" i="11"/>
  <c r="BU8" i="11"/>
  <c r="BT8" i="11"/>
  <c r="BS8" i="11"/>
  <c r="BR8" i="11"/>
  <c r="BQ8" i="11"/>
  <c r="BP8" i="11"/>
  <c r="BO8" i="11"/>
  <c r="DX7" i="11"/>
  <c r="DW7" i="11"/>
  <c r="DV7" i="11"/>
  <c r="DU7" i="11"/>
  <c r="DT7" i="11"/>
  <c r="DS7" i="11"/>
  <c r="DR7" i="11"/>
  <c r="DQ7" i="11"/>
  <c r="DP7" i="11"/>
  <c r="DO7" i="11"/>
  <c r="DN7" i="11"/>
  <c r="DM7" i="11"/>
  <c r="DL7" i="11"/>
  <c r="DK7" i="11"/>
  <c r="DJ7" i="11"/>
  <c r="DI7" i="11"/>
  <c r="DH7" i="11"/>
  <c r="DG7" i="11"/>
  <c r="DF7" i="11"/>
  <c r="DE7" i="11"/>
  <c r="DD7" i="11"/>
  <c r="DC7" i="11"/>
  <c r="DB7" i="11"/>
  <c r="DA7" i="11"/>
  <c r="CZ7" i="11"/>
  <c r="CY7" i="11"/>
  <c r="CX7" i="11"/>
  <c r="CW7" i="11"/>
  <c r="CV7" i="11"/>
  <c r="CU7" i="11"/>
  <c r="CT7" i="11"/>
  <c r="CS7" i="11"/>
  <c r="CR7" i="11"/>
  <c r="CQ7" i="11"/>
  <c r="CP7" i="11"/>
  <c r="CO7" i="11"/>
  <c r="CN7" i="11"/>
  <c r="CM7" i="11"/>
  <c r="CL7" i="11"/>
  <c r="CK7" i="11"/>
  <c r="CJ7" i="11"/>
  <c r="CI7" i="11"/>
  <c r="CH7" i="11"/>
  <c r="CG7" i="11"/>
  <c r="CF7" i="11"/>
  <c r="CE7" i="11"/>
  <c r="CD7" i="11"/>
  <c r="CC7" i="11"/>
  <c r="CB7" i="11"/>
  <c r="CA7" i="11"/>
  <c r="BZ7" i="11"/>
  <c r="BY7" i="11"/>
  <c r="BX7" i="11"/>
  <c r="BW7" i="11"/>
  <c r="BV7" i="11"/>
  <c r="BU7" i="11"/>
  <c r="BT7" i="11"/>
  <c r="BS7" i="11"/>
  <c r="BR7" i="11"/>
  <c r="BQ7" i="11"/>
  <c r="BP7" i="11"/>
  <c r="BO7" i="11"/>
  <c r="DX6" i="11"/>
  <c r="DW6" i="11"/>
  <c r="DV6" i="11"/>
  <c r="DU6" i="11"/>
  <c r="DT6" i="11"/>
  <c r="DS6" i="11"/>
  <c r="DR6" i="11"/>
  <c r="DQ6" i="11"/>
  <c r="DP6" i="11"/>
  <c r="DO6" i="11"/>
  <c r="DN6" i="11"/>
  <c r="DM6" i="11"/>
  <c r="DL6" i="11"/>
  <c r="DK6" i="11"/>
  <c r="DJ6" i="11"/>
  <c r="DI6" i="11"/>
  <c r="DH6" i="11"/>
  <c r="DG6" i="11"/>
  <c r="DF6" i="11"/>
  <c r="DE6" i="11"/>
  <c r="DD6" i="11"/>
  <c r="DC6" i="11"/>
  <c r="DB6" i="11"/>
  <c r="DA6" i="11"/>
  <c r="CZ6" i="11"/>
  <c r="CY6" i="11"/>
  <c r="CX6" i="11"/>
  <c r="CW6" i="11"/>
  <c r="CV6" i="11"/>
  <c r="CU6" i="11"/>
  <c r="CT6" i="11"/>
  <c r="CS6" i="11"/>
  <c r="CR6" i="11"/>
  <c r="CQ6" i="11"/>
  <c r="CP6" i="11"/>
  <c r="CO6" i="11"/>
  <c r="CN6" i="11"/>
  <c r="CM6" i="11"/>
  <c r="CL6" i="11"/>
  <c r="CK6" i="11"/>
  <c r="CJ6" i="11"/>
  <c r="CI6" i="11"/>
  <c r="CH6" i="11"/>
  <c r="CG6" i="11"/>
  <c r="CF6" i="11"/>
  <c r="CE6" i="11"/>
  <c r="CD6" i="11"/>
  <c r="CC6" i="11"/>
  <c r="CB6" i="11"/>
  <c r="CA6" i="11"/>
  <c r="BZ6" i="11"/>
  <c r="BY6" i="11"/>
  <c r="BX6" i="11"/>
  <c r="BW6" i="11"/>
  <c r="BV6" i="11"/>
  <c r="BU6" i="11"/>
  <c r="BT6" i="11"/>
  <c r="BS6" i="11"/>
  <c r="BR6" i="11"/>
  <c r="BQ6" i="11"/>
  <c r="BP6" i="11"/>
  <c r="BO6" i="11"/>
  <c r="DX5" i="11"/>
  <c r="DW5" i="11"/>
  <c r="DV5" i="11"/>
  <c r="DU5" i="11"/>
  <c r="DT5" i="11"/>
  <c r="DS5" i="11"/>
  <c r="DR5" i="11"/>
  <c r="DQ5" i="11"/>
  <c r="DP5" i="11"/>
  <c r="DO5" i="11"/>
  <c r="DN5" i="11"/>
  <c r="DM5" i="11"/>
  <c r="DL5" i="11"/>
  <c r="DK5" i="11"/>
  <c r="DJ5" i="11"/>
  <c r="DI5" i="11"/>
  <c r="DH5" i="11"/>
  <c r="DG5" i="11"/>
  <c r="DF5" i="11"/>
  <c r="DE5" i="11"/>
  <c r="DD5" i="11"/>
  <c r="DC5" i="11"/>
  <c r="DB5" i="11"/>
  <c r="DA5" i="11"/>
  <c r="CZ5" i="11"/>
  <c r="CY5" i="11"/>
  <c r="CX5" i="11"/>
  <c r="CW5" i="11"/>
  <c r="CV5" i="11"/>
  <c r="CU5" i="11"/>
  <c r="CT5" i="11"/>
  <c r="CS5" i="11"/>
  <c r="CR5" i="11"/>
  <c r="CQ5" i="11"/>
  <c r="CP5" i="11"/>
  <c r="CO5" i="11"/>
  <c r="CN5" i="11"/>
  <c r="CM5" i="11"/>
  <c r="CL5" i="11"/>
  <c r="CK5" i="11"/>
  <c r="CJ5" i="11"/>
  <c r="CI5" i="11"/>
  <c r="CH5" i="11"/>
  <c r="CG5" i="11"/>
  <c r="CF5" i="11"/>
  <c r="CE5" i="11"/>
  <c r="CD5" i="11"/>
  <c r="CC5" i="11"/>
  <c r="CB5" i="11"/>
  <c r="CA5" i="11"/>
  <c r="BZ5" i="11"/>
  <c r="BY5" i="11"/>
  <c r="BX5" i="11"/>
  <c r="BW5" i="11"/>
  <c r="BV5" i="11"/>
  <c r="BU5" i="11"/>
  <c r="BT5" i="11"/>
  <c r="BS5" i="11"/>
  <c r="BR5" i="11"/>
  <c r="BQ5" i="11"/>
  <c r="BP5" i="11"/>
  <c r="BO5" i="11"/>
  <c r="DX4" i="11"/>
  <c r="DW4" i="11"/>
  <c r="DV4" i="11"/>
  <c r="DU4" i="11"/>
  <c r="DT4" i="11"/>
  <c r="DS4" i="11"/>
  <c r="DR4" i="11"/>
  <c r="DQ4" i="11"/>
  <c r="DP4" i="11"/>
  <c r="DO4" i="11"/>
  <c r="DN4" i="11"/>
  <c r="DM4" i="11"/>
  <c r="DL4" i="11"/>
  <c r="DK4" i="11"/>
  <c r="DJ4" i="11"/>
  <c r="DI4" i="11"/>
  <c r="DH4" i="11"/>
  <c r="DG4" i="11"/>
  <c r="DF4" i="11"/>
  <c r="DE4" i="11"/>
  <c r="DD4" i="11"/>
  <c r="DC4" i="11"/>
  <c r="DB4" i="11"/>
  <c r="DA4" i="11"/>
  <c r="CZ4" i="11"/>
  <c r="CY4" i="11"/>
  <c r="CX4" i="11"/>
  <c r="CW4" i="11"/>
  <c r="CV4" i="11"/>
  <c r="CU4" i="11"/>
  <c r="CT4" i="11"/>
  <c r="CS4" i="11"/>
  <c r="CR4" i="11"/>
  <c r="CQ4" i="11"/>
  <c r="CP4" i="11"/>
  <c r="CO4" i="11"/>
  <c r="CN4" i="11"/>
  <c r="CM4" i="11"/>
  <c r="CL4" i="11"/>
  <c r="CK4" i="11"/>
  <c r="CJ4" i="11"/>
  <c r="CI4" i="11"/>
  <c r="CH4" i="11"/>
  <c r="CG4" i="11"/>
  <c r="CF4" i="11"/>
  <c r="CE4" i="11"/>
  <c r="CD4" i="11"/>
  <c r="CC4" i="11"/>
  <c r="CB4" i="11"/>
  <c r="CA4" i="11"/>
  <c r="BZ4" i="11"/>
  <c r="BY4" i="11"/>
  <c r="BX4" i="11"/>
  <c r="BW4" i="11"/>
  <c r="BV4" i="11"/>
  <c r="BU4" i="11"/>
  <c r="BT4" i="11"/>
  <c r="BS4" i="11"/>
  <c r="BR4" i="11"/>
  <c r="BQ4" i="11"/>
  <c r="BP4" i="11"/>
  <c r="BO4" i="11"/>
  <c r="DX3" i="11"/>
  <c r="DW3" i="11"/>
  <c r="DV3" i="11"/>
  <c r="DU3" i="11"/>
  <c r="DT3" i="11"/>
  <c r="DS3" i="11"/>
  <c r="DR3" i="11"/>
  <c r="DQ3" i="11"/>
  <c r="DP3" i="11"/>
  <c r="DO3" i="11"/>
  <c r="DN3" i="11"/>
  <c r="DM3" i="11"/>
  <c r="DL3" i="11"/>
  <c r="DK3" i="11"/>
  <c r="DJ3" i="11"/>
  <c r="DI3" i="11"/>
  <c r="DH3" i="11"/>
  <c r="DG3" i="11"/>
  <c r="DF3" i="11"/>
  <c r="DE3" i="11"/>
  <c r="DD3" i="11"/>
  <c r="DC3" i="11"/>
  <c r="DB3" i="11"/>
  <c r="DA3" i="11"/>
  <c r="CZ3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3" i="11"/>
  <c r="DX2" i="11"/>
  <c r="DW2" i="11"/>
  <c r="DV2" i="11"/>
  <c r="DU2" i="11"/>
  <c r="DT2" i="11"/>
  <c r="DS2" i="11"/>
  <c r="DR2" i="11"/>
  <c r="DQ2" i="11"/>
  <c r="DP2" i="11"/>
  <c r="DO2" i="11"/>
  <c r="DN2" i="11"/>
  <c r="DM2" i="11"/>
  <c r="DL2" i="11"/>
  <c r="DK2" i="11"/>
  <c r="DJ2" i="11"/>
  <c r="DI2" i="11"/>
  <c r="DH2" i="11"/>
  <c r="DG2" i="11"/>
  <c r="DF2" i="11"/>
  <c r="DE2" i="11"/>
  <c r="DD2" i="11"/>
  <c r="DC2" i="11"/>
  <c r="DB2" i="11"/>
  <c r="DA2" i="11"/>
  <c r="CZ2" i="11"/>
  <c r="CY2" i="11"/>
  <c r="CX2" i="11"/>
  <c r="CW2" i="11"/>
  <c r="CV2" i="11"/>
  <c r="CU2" i="11"/>
  <c r="CT2" i="11"/>
  <c r="CS2" i="11"/>
  <c r="CR2" i="11"/>
  <c r="CQ2" i="11"/>
  <c r="CP2" i="11"/>
  <c r="CO2" i="11"/>
  <c r="CN2" i="11"/>
  <c r="CM2" i="11"/>
  <c r="CL2" i="11"/>
  <c r="CK2" i="11"/>
  <c r="CJ2" i="11"/>
  <c r="CI2" i="11"/>
  <c r="CH2" i="11"/>
  <c r="CG2" i="11"/>
  <c r="CF2" i="11"/>
  <c r="CE2" i="11"/>
  <c r="CD2" i="11"/>
  <c r="CC2" i="11"/>
  <c r="CB2" i="11"/>
  <c r="CA2" i="11"/>
  <c r="BZ2" i="11"/>
  <c r="BY2" i="11"/>
  <c r="BX2" i="11"/>
  <c r="BW2" i="11"/>
  <c r="BV2" i="11"/>
  <c r="BU2" i="11"/>
  <c r="BT2" i="11"/>
  <c r="BS2" i="11"/>
  <c r="BR2" i="11"/>
  <c r="BQ2" i="11"/>
  <c r="BP2" i="11"/>
  <c r="BO2" i="11"/>
  <c r="BN25" i="11"/>
  <c r="BN24" i="11"/>
  <c r="BN23" i="11"/>
  <c r="BN22" i="11"/>
  <c r="BN21" i="11"/>
  <c r="BN20" i="11"/>
  <c r="BN19" i="11"/>
  <c r="BN18" i="11"/>
  <c r="BN17" i="11"/>
  <c r="BN16" i="11"/>
  <c r="BN15" i="11"/>
  <c r="BN14" i="11"/>
  <c r="BN13" i="11"/>
  <c r="BN12" i="11"/>
  <c r="BN11" i="11"/>
  <c r="BN10" i="11"/>
  <c r="BN9" i="11"/>
  <c r="BN7" i="11"/>
  <c r="BN6" i="11"/>
  <c r="BN5" i="11"/>
  <c r="BN4" i="11"/>
  <c r="BN3" i="11"/>
  <c r="BN2" i="11"/>
  <c r="DZ5" i="11"/>
  <c r="DZ24" i="11"/>
  <c r="DZ16" i="11"/>
  <c r="DZ7" i="11"/>
  <c r="DZ12" i="11"/>
  <c r="DZ6" i="11"/>
  <c r="DZ8" i="11"/>
  <c r="DZ4" i="11"/>
  <c r="DZ20" i="11"/>
  <c r="DZ3" i="11"/>
  <c r="DZ22" i="11"/>
  <c r="DZ2" i="11"/>
  <c r="DZ26" i="11"/>
  <c r="DZ9" i="11"/>
  <c r="DZ25" i="11"/>
  <c r="DZ18" i="11"/>
  <c r="DZ17" i="11"/>
  <c r="DZ15" i="11"/>
  <c r="DZ11" i="11"/>
  <c r="DZ10" i="11"/>
  <c r="DZ13" i="11"/>
  <c r="DZ19" i="11"/>
  <c r="DZ21" i="11"/>
  <c r="DZ23" i="11"/>
  <c r="DZ14" i="11"/>
  <c r="DZ27" i="11"/>
  <c r="DZ46" i="11"/>
  <c r="DZ42" i="11"/>
  <c r="DZ38" i="11"/>
  <c r="DZ40" i="11"/>
  <c r="DZ45" i="11"/>
  <c r="DZ41" i="11"/>
  <c r="DZ37" i="11"/>
  <c r="DZ47" i="11"/>
  <c r="DZ43" i="11"/>
  <c r="DZ39" i="11"/>
  <c r="DZ44" i="11"/>
  <c r="DZ36" i="11"/>
  <c r="A46" i="11" l="1"/>
  <c r="A2" i="11"/>
  <c r="A15" i="11"/>
  <c r="A12" i="11"/>
  <c r="A23" i="11"/>
  <c r="A41" i="11"/>
  <c r="A13" i="11"/>
  <c r="A27" i="11"/>
  <c r="A42" i="11"/>
  <c r="A3" i="11"/>
  <c r="A14" i="11"/>
  <c r="A30" i="11"/>
  <c r="A43" i="11"/>
  <c r="A4" i="11"/>
  <c r="A47" i="11"/>
  <c r="A5" i="11"/>
  <c r="A32" i="11"/>
  <c r="A6" i="11"/>
  <c r="A20" i="11"/>
  <c r="A33" i="11"/>
  <c r="A7" i="11"/>
  <c r="A21" i="11"/>
  <c r="A39" i="11"/>
  <c r="A31" i="11"/>
  <c r="A19" i="11"/>
  <c r="A11" i="11"/>
  <c r="A22" i="11"/>
  <c r="A40" i="11"/>
  <c r="A8" i="11"/>
  <c r="A16" i="11"/>
  <c r="A24" i="11"/>
  <c r="A36" i="11"/>
  <c r="A44" i="11"/>
  <c r="A9" i="11"/>
  <c r="A17" i="11"/>
  <c r="A25" i="11"/>
  <c r="A37" i="11"/>
  <c r="A45" i="11"/>
  <c r="A10" i="11"/>
  <c r="A18" i="11"/>
  <c r="A26" i="11"/>
  <c r="A38" i="11"/>
</calcChain>
</file>

<file path=xl/connections.xml><?xml version="1.0" encoding="utf-8"?>
<connections xmlns="http://schemas.openxmlformats.org/spreadsheetml/2006/main">
  <connection id="1" name="CAL.txt" type="6" refreshedVersion="0" background="1" saveData="1">
    <textPr fileType="mac" sourceFile="Macintosh HD:Users:davidthird:Desktop:CAL.txt" tab="0" semicolon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ER.txt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ER.txt1" type="6" refreshedVersion="0" background="1" saveData="1">
    <textPr fileType="mac" sourceFile="Macintosh HD:Users:davidthird:Desktop:leaders_out:GER.txt" tab="0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U08.csv" type="6" refreshedVersion="0" background="1" saveData="1">
    <textPr fileType="mac" sourceFile="Macintosh HD:Users:davidthird:Desktop:leaders:U08.csv" semicolon="1">
      <textFields count="18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<sst xmlns="http://schemas.openxmlformats.org/spreadsheetml/2006/main" count="2011" uniqueCount="380">
  <si>
    <t>}</t>
  </si>
  <si>
    <t>Alpini_brigade</t>
  </si>
  <si>
    <t>Alpins_brigade</t>
  </si>
  <si>
    <t>anti_air_brigade</t>
  </si>
  <si>
    <t>anti_tank_brigade</t>
  </si>
  <si>
    <t>armor_brigade</t>
  </si>
  <si>
    <t>armored_car_brigade</t>
  </si>
  <si>
    <t>artillery_brigade</t>
  </si>
  <si>
    <t>austrian_brigade</t>
  </si>
  <si>
    <t>bergsjaeger_brigade</t>
  </si>
  <si>
    <t>cavalry_brigade</t>
  </si>
  <si>
    <t>engineer_brigade</t>
  </si>
  <si>
    <t>garrison_brigade</t>
  </si>
  <si>
    <t>Guards_brigade</t>
  </si>
  <si>
    <t>Gurkha_brigade</t>
  </si>
  <si>
    <t>hq_brigade</t>
  </si>
  <si>
    <t>Imperial_brigade</t>
  </si>
  <si>
    <t>infantry_brigade</t>
  </si>
  <si>
    <t>janissary_brigade</t>
  </si>
  <si>
    <t>light_armor_brigade</t>
  </si>
  <si>
    <t>marine_brigade</t>
  </si>
  <si>
    <t>militia_brigade</t>
  </si>
  <si>
    <t>partisan_brigade</t>
  </si>
  <si>
    <t>police_brigade</t>
  </si>
  <si>
    <t>ranger_brigade</t>
  </si>
  <si>
    <t>waffenSS_brigade</t>
  </si>
  <si>
    <t>usable_by</t>
  </si>
  <si>
    <t>type</t>
  </si>
  <si>
    <t>sprite</t>
  </si>
  <si>
    <t>unit_group</t>
  </si>
  <si>
    <t>minimum_of_type</t>
  </si>
  <si>
    <t>max_percentage_of_type</t>
  </si>
  <si>
    <t>max_strength</t>
  </si>
  <si>
    <t>default_organisation</t>
  </si>
  <si>
    <t>default_morale</t>
  </si>
  <si>
    <t>officers</t>
  </si>
  <si>
    <t>build_cost_ic</t>
  </si>
  <si>
    <t>build_cost_manpower</t>
  </si>
  <si>
    <t>build_time</t>
  </si>
  <si>
    <t>repair_cost_multiplier</t>
  </si>
  <si>
    <t>maximum_speed</t>
  </si>
  <si>
    <t>transport_weight</t>
  </si>
  <si>
    <t>supply_consumption</t>
  </si>
  <si>
    <t>fuel_consumption</t>
  </si>
  <si>
    <t>radio_strength</t>
  </si>
  <si>
    <t>defensiveness</t>
  </si>
  <si>
    <t>toughness</t>
  </si>
  <si>
    <t>softness</t>
  </si>
  <si>
    <t>air_defence</t>
  </si>
  <si>
    <t>suppression</t>
  </si>
  <si>
    <t>soft_attack</t>
  </si>
  <si>
    <t>hard_attack</t>
  </si>
  <si>
    <t>air_attack</t>
  </si>
  <si>
    <t>ap_attack</t>
  </si>
  <si>
    <t>combat_width</t>
  </si>
  <si>
    <t>completion_size</t>
  </si>
  <si>
    <t>on_completion</t>
  </si>
  <si>
    <t>priority</t>
  </si>
  <si>
    <t>hills</t>
  </si>
  <si>
    <t>arctic</t>
  </si>
  <si>
    <t>jungle</t>
  </si>
  <si>
    <t>forest</t>
  </si>
  <si>
    <t/>
  </si>
  <si>
    <t>active</t>
  </si>
  <si>
    <t>amphibious</t>
  </si>
  <si>
    <t>armor_value</t>
  </si>
  <si>
    <t>can_paradrop</t>
  </si>
  <si>
    <t>fort</t>
  </si>
  <si>
    <t>is_armor</t>
  </si>
  <si>
    <t>is_buildable</t>
  </si>
  <si>
    <t>is_mobile</t>
  </si>
  <si>
    <t>plains</t>
  </si>
  <si>
    <t>river</t>
  </si>
  <si>
    <t>urban</t>
  </si>
  <si>
    <t xml:space="preserve">
amphibious</t>
  </si>
  <si>
    <t xml:space="preserve">
arctic</t>
  </si>
  <si>
    <t xml:space="preserve">
available_trigger</t>
  </si>
  <si>
    <t xml:space="preserve">
desert</t>
  </si>
  <si>
    <t xml:space="preserve">
forest</t>
  </si>
  <si>
    <t xml:space="preserve">
fort</t>
  </si>
  <si>
    <t xml:space="preserve">
hills</t>
  </si>
  <si>
    <t xml:space="preserve">
jungle</t>
  </si>
  <si>
    <t xml:space="preserve">
marsh</t>
  </si>
  <si>
    <t xml:space="preserve">
mountain</t>
  </si>
  <si>
    <t xml:space="preserve">
night</t>
  </si>
  <si>
    <t xml:space="preserve">
plains</t>
  </si>
  <si>
    <t xml:space="preserve">
river</t>
  </si>
  <si>
    <t xml:space="preserve">
urban</t>
  </si>
  <si>
    <t xml:space="preserve">
woods</t>
  </si>
  <si>
    <t>waffen_brigade = {</t>
  </si>
  <si>
    <t>no</t>
  </si>
  <si>
    <t>{ RUS SOV WHR }</t>
  </si>
  <si>
    <t>heavy_artillery_brigade</t>
  </si>
  <si>
    <t>{
attack = 0.60
}</t>
  </si>
  <si>
    <t>heavy_artillery_brigade = {</t>
  </si>
  <si>
    <t>{
attack = 0.60
defence = 0.25
movement = 0.20
}</t>
  </si>
  <si>
    <t>{
attack = 0.10
movement = 0.10
}</t>
  </si>
  <si>
    <t>{
attack = 0.50
defence = 0.15
movement = 0.10
}</t>
  </si>
  <si>
    <t>{
attack = 0.60
defence = 0.25
movement = 0.10
}</t>
  </si>
  <si>
    <t>{
attack = 0.05
movement = 0.05
}</t>
  </si>
  <si>
    <t>0.10</t>
  </si>
  <si>
    <t>2.50</t>
  </si>
  <si>
    <t>1</t>
  </si>
  <si>
    <t>160</t>
  </si>
  <si>
    <t>0.3</t>
  </si>
  <si>
    <t>4.00</t>
  </si>
  <si>
    <t>0.00</t>
  </si>
  <si>
    <t>0.33</t>
  </si>
  <si>
    <t>0.04</t>
  </si>
  <si>
    <t>4.33</t>
  </si>
  <si>
    <t>6</t>
  </si>
  <si>
    <t>infantry_practical</t>
  </si>
  <si>
    <t>9</t>
  </si>
  <si>
    <t>0.05</t>
  </si>
  <si>
    <t>1.67</t>
  </si>
  <si>
    <t>1.00</t>
  </si>
  <si>
    <t>Elite</t>
  </si>
  <si>
    <t>land</t>
  </si>
  <si>
    <t>infantry_unit_type</t>
  </si>
  <si>
    <t>{ ITA }</t>
  </si>
  <si>
    <t>{
attack = 0.55
defence = 0.30
movement = 0.20
}</t>
  </si>
  <si>
    <t>{
attack = 0.45
defence = 0.20
movement = 0.10
}</t>
  </si>
  <si>
    <t>{
attack = 0.55
defence = 0.30
movement = 0.10
}</t>
  </si>
  <si>
    <t>{ FRA }</t>
  </si>
  <si>
    <t>{
attack = -0.20
movement = -0.20
}</t>
  </si>
  <si>
    <t>{
attack = -0.10
movement = -0.10
}</t>
  </si>
  <si>
    <t>{
attack = -0.30
movement = -0.30
}</t>
  </si>
  <si>
    <t>{
attack = -0.20
movement = -0.70
}</t>
  </si>
  <si>
    <t>{
attack = -0.20
}</t>
  </si>
  <si>
    <t>5.00</t>
  </si>
  <si>
    <t>{ attack = -0.40 }</t>
  </si>
  <si>
    <t>2.33</t>
  </si>
  <si>
    <t>95</t>
  </si>
  <si>
    <t>0</t>
  </si>
  <si>
    <t>0.2</t>
  </si>
  <si>
    <t>2.00</t>
  </si>
  <si>
    <t>10</t>
  </si>
  <si>
    <t>100</t>
  </si>
  <si>
    <t>artillery_practical</t>
  </si>
  <si>
    <t>3</t>
  </si>
  <si>
    <t>{ attack = -0.05 }</t>
  </si>
  <si>
    <t>0.70</t>
  </si>
  <si>
    <t>0.80</t>
  </si>
  <si>
    <t>Infantry</t>
  </si>
  <si>
    <t>direct_fire_unit_type</t>
  </si>
  <si>
    <t>1.50</t>
  </si>
  <si>
    <t>5</t>
  </si>
  <si>
    <t>3.00</t>
  </si>
  <si>
    <t>1.33</t>
  </si>
  <si>
    <t>1.20</t>
  </si>
  <si>
    <t>{
attack = -0.30
movement = -0.40
defence = -0.40
}</t>
  </si>
  <si>
    <t>{
attack = -0.10
movement = -0.10
defence = -0.30
}</t>
  </si>
  <si>
    <t>{
attack = -0.40
movement = -0.40
defence = -0.60
}</t>
  </si>
  <si>
    <t>{
attack = -0.40
movement = -0.80
defence = -0.60
}</t>
  </si>
  <si>
    <t>{
attack = -0.30
movement = -0.40
defence = -0.70
}</t>
  </si>
  <si>
    <t>{
attack = -0.40
defence = -0.70
}</t>
  </si>
  <si>
    <t>{ attack = -0.60 }</t>
  </si>
  <si>
    <t>190</t>
  </si>
  <si>
    <t>3.50</t>
  </si>
  <si>
    <t>yes</t>
  </si>
  <si>
    <t>armour_practical</t>
  </si>
  <si>
    <t>0.15</t>
  </si>
  <si>
    <t>Tank</t>
  </si>
  <si>
    <t>20.00</t>
  </si>
  <si>
    <t>armor_unit_type</t>
  </si>
  <si>
    <t>{
movement = 0.20
}</t>
  </si>
  <si>
    <t>{
movement = 0.40
}</t>
  </si>
  <si>
    <t>{
attack = -0.20
defence = -0.15
movement = 0.10
}</t>
  </si>
  <si>
    <t>{
defence = -0.1
movement = 0.20
}</t>
  </si>
  <si>
    <t>{
attack = -0.30
defence = -0.25
movement = 0.05
}</t>
  </si>
  <si>
    <t>{
attack = -0.10
defence = -0.25
movement = -0.10
}</t>
  </si>
  <si>
    <t>{
attack = -0.05
movement = 0.10
defence = -0.30
}</t>
  </si>
  <si>
    <t>{
attack = -0.20
defence = -0.30
movement = 0.40
}</t>
  </si>
  <si>
    <t>{
attack = -0.05
movement = 0.15
defence = -0.10
}</t>
  </si>
  <si>
    <t>110</t>
  </si>
  <si>
    <t>0.4</t>
  </si>
  <si>
    <t>0.38</t>
  </si>
  <si>
    <t>9.00</t>
  </si>
  <si>
    <t>mobile_practical</t>
  </si>
  <si>
    <t>4</t>
  </si>
  <si>
    <t>0.45</t>
  </si>
  <si>
    <t>support_unit_type</t>
  </si>
  <si>
    <t>{ attack = -0.80 }</t>
  </si>
  <si>
    <t>{ attack = 0.10 }</t>
  </si>
  <si>
    <t>2.40</t>
  </si>
  <si>
    <t>0.90</t>
  </si>
  <si>
    <t>artillery_unit_type</t>
  </si>
  <si>
    <t>{
attack = 0.10
movement = 0.15
}</t>
  </si>
  <si>
    <t>{
attack = 0.10
defence = 0.10
movement = 0.10
}</t>
  </si>
  <si>
    <t>{
attack = 0.20
defence = 0.15
}</t>
  </si>
  <si>
    <t>150</t>
  </si>
  <si>
    <t>0.67</t>
  </si>
  <si>
    <t>{ AUH }</t>
  </si>
  <si>
    <t>{
attack = 0.50
defence = 0.20
movement = 0.20
}</t>
  </si>
  <si>
    <t>{
attack = 0.40
defence = 0.10
movement = 0.10
}</t>
  </si>
  <si>
    <t>{
attack = 0.50
defence = 0.20
movement = 0.10
}</t>
  </si>
  <si>
    <t>0.5</t>
  </si>
  <si>
    <t>8</t>
  </si>
  <si>
    <t>{
attack = -0.10
movement = -0.05
}</t>
  </si>
  <si>
    <t>1.60</t>
  </si>
  <si>
    <t>{ attack = -0.10 }</t>
  </si>
  <si>
    <t>6.00</t>
  </si>
  <si>
    <t>Cavalry</t>
  </si>
  <si>
    <t>{
attack = 0.4
}</t>
  </si>
  <si>
    <t>{
defence = 0.5
}</t>
  </si>
  <si>
    <t>{
attack = 0.40
}</t>
  </si>
  <si>
    <t>{
movement = 0.2
attack = 0.2
defence = 0.3
}</t>
  </si>
  <si>
    <t>{
attack = 0.6
defence = 1.0
}</t>
  </si>
  <si>
    <t>{
attack = 0.4
defence = 0.6
}</t>
  </si>
  <si>
    <t>3.33</t>
  </si>
  <si>
    <t>140</t>
  </si>
  <si>
    <t>2</t>
  </si>
  <si>
    <t>8.00</t>
  </si>
  <si>
    <t>{ attack = -0.20 }</t>
  </si>
  <si>
    <t>60</t>
  </si>
  <si>
    <t>militia_practical</t>
  </si>
  <si>
    <t>120</t>
  </si>
  <si>
    <t>{
attack = 0.15
movement = 0.10
}</t>
  </si>
  <si>
    <t>{
attack = 0.50
defence = 0.10
movement = 0.15
}</t>
  </si>
  <si>
    <t>{
attack = 0.20
movement = 0.10
}</t>
  </si>
  <si>
    <t>{
attack = 0.60
defence = 0.20
movement = 0.15
}</t>
  </si>
  <si>
    <t>{
attack = 0.1
movement = 0.05
}</t>
  </si>
  <si>
    <t>{ ENG NEP }</t>
  </si>
  <si>
    <t>land_doctrine_practical</t>
  </si>
  <si>
    <t>11</t>
  </si>
  <si>
    <t>10.00</t>
  </si>
  <si>
    <t>{
attack = 0.10
}</t>
  </si>
  <si>
    <t>{
attack = 0.15
movement = 0.15
}</t>
  </si>
  <si>
    <t>{
attack = 0.20
movement = 0.15
}</t>
  </si>
  <si>
    <t>{
attack = 0.05
}</t>
  </si>
  <si>
    <t>175</t>
  </si>
  <si>
    <t>{ JAP }</t>
  </si>
  <si>
    <t>7</t>
  </si>
  <si>
    <t>{ TUR }</t>
  </si>
  <si>
    <t>{
attack = -0.20
movement = -0.30
defence = -0.3
}</t>
  </si>
  <si>
    <t>{
attack = -0.05
movement = -0.05
defence = -0.2
}</t>
  </si>
  <si>
    <t>{
attack = -0.30
movement = -0.30
defence = -0.5
}</t>
  </si>
  <si>
    <t>{
attack = -0.30
movement = -0.70
defence = -0.5
}</t>
  </si>
  <si>
    <t>{
attack = -0.20
movement = -0.30
defence = -0.60
}</t>
  </si>
  <si>
    <t>{
attack = -0.40
defence = -0.60
}</t>
  </si>
  <si>
    <t>{
attack = -0.05
movement = -0.10
defence = -0.2
}</t>
  </si>
  <si>
    <t>0.30</t>
  </si>
  <si>
    <t>15.00</t>
  </si>
  <si>
    <t>{
attack = 0.50
}</t>
  </si>
  <si>
    <t>{
attack = 0.25
defence = 0.25
movement = 0.25
}</t>
  </si>
  <si>
    <t>{
attack = 0.3
}</t>
  </si>
  <si>
    <t>{
attack = 0.05
defence = 0.15
}</t>
  </si>
  <si>
    <t>50</t>
  </si>
  <si>
    <t>0.1</t>
  </si>
  <si>
    <t>{ defence = 0.10 }</t>
  </si>
  <si>
    <t>{ defence = 0.05 }</t>
  </si>
  <si>
    <t>{ defence = 0.15 }</t>
  </si>
  <si>
    <t>{ attack = -0.25 }</t>
  </si>
  <si>
    <t>{ defence = 0.20 }</t>
  </si>
  <si>
    <t>{ attack = -0.15 }</t>
  </si>
  <si>
    <t>0.75</t>
  </si>
  <si>
    <t>{ USA }</t>
  </si>
  <si>
    <t>{ GER }</t>
  </si>
  <si>
    <t>cag</t>
  </si>
  <si>
    <t>interceptor</t>
  </si>
  <si>
    <t>tactical_bomber</t>
  </si>
  <si>
    <t>airship</t>
  </si>
  <si>
    <t>17.00</t>
  </si>
  <si>
    <t>300</t>
  </si>
  <si>
    <t>30</t>
  </si>
  <si>
    <t>4.60</t>
  </si>
  <si>
    <t>airship_practical</t>
  </si>
  <si>
    <t>800.00</t>
  </si>
  <si>
    <t>Bomber</t>
  </si>
  <si>
    <t>air</t>
  </si>
  <si>
    <t>9.8</t>
  </si>
  <si>
    <t>1.10</t>
  </si>
  <si>
    <t>180</t>
  </si>
  <si>
    <t>1.8</t>
  </si>
  <si>
    <t>1.70</t>
  </si>
  <si>
    <t>single_engine_aircraft_practical</t>
  </si>
  <si>
    <t>Fighter</t>
  </si>
  <si>
    <t>14.00</t>
  </si>
  <si>
    <t>2.0</t>
  </si>
  <si>
    <t>16.00</t>
  </si>
  <si>
    <t>220</t>
  </si>
  <si>
    <t>3.45</t>
  </si>
  <si>
    <t>twin_engine_aircraft_practical</t>
  </si>
  <si>
    <t>400.00</t>
  </si>
  <si>
    <t>Tactical</t>
  </si>
  <si>
    <t>air_detection</t>
  </si>
  <si>
    <t>is_bomber</t>
  </si>
  <si>
    <t>is_cag</t>
  </si>
  <si>
    <t>range</t>
  </si>
  <si>
    <t>sea_attack</t>
  </si>
  <si>
    <t>strategic_attack</t>
  </si>
  <si>
    <t>sub_attack</t>
  </si>
  <si>
    <t>surface_defence</t>
  </si>
  <si>
    <t>surface_detection</t>
  </si>
  <si>
    <t>transport_capability</t>
  </si>
  <si>
    <t>extra_amphibious_defence</t>
  </si>
  <si>
    <t>assault_ship</t>
  </si>
  <si>
    <t>battlecruiser</t>
  </si>
  <si>
    <t>battleship</t>
  </si>
  <si>
    <t>carrier</t>
  </si>
  <si>
    <t>destroyer</t>
  </si>
  <si>
    <t>escort_carrier</t>
  </si>
  <si>
    <t>heavy_cruiser</t>
  </si>
  <si>
    <t>invasion_transport_ship</t>
  </si>
  <si>
    <t>light_cruiser</t>
  </si>
  <si>
    <t>submarine</t>
  </si>
  <si>
    <t>transport</t>
  </si>
  <si>
    <t>dreadnaught</t>
  </si>
  <si>
    <t>hull</t>
  </si>
  <si>
    <t>amphibious_invasion_speed</t>
  </si>
  <si>
    <t>amphibious_invasion_defence</t>
  </si>
  <si>
    <t>distance</t>
  </si>
  <si>
    <t>sub_detection</t>
  </si>
  <si>
    <t>visibility</t>
  </si>
  <si>
    <t>sea_defence</t>
  </si>
  <si>
    <t>convoy_attack</t>
  </si>
  <si>
    <t>shore_bombardment</t>
  </si>
  <si>
    <t>capital</t>
  </si>
  <si>
    <t>can_be_pride</t>
  </si>
  <si>
    <t>carrier_size</t>
  </si>
  <si>
    <t>is_sub</t>
  </si>
  <si>
    <t>1.25</t>
  </si>
  <si>
    <t>1.0</t>
  </si>
  <si>
    <t>0.25</t>
  </si>
  <si>
    <t>22</t>
  </si>
  <si>
    <t>transport_practical</t>
  </si>
  <si>
    <t>LSTLandingcraft</t>
  </si>
  <si>
    <t>naval</t>
  </si>
  <si>
    <t>60.00</t>
  </si>
  <si>
    <t>3500.00</t>
  </si>
  <si>
    <t>80.00</t>
  </si>
  <si>
    <t>0.92</t>
  </si>
  <si>
    <t>capitalship_practical</t>
  </si>
  <si>
    <t>Battlecruiser</t>
  </si>
  <si>
    <t>0.50</t>
  </si>
  <si>
    <t>2500.00</t>
  </si>
  <si>
    <t>12.00</t>
  </si>
  <si>
    <t>7.00</t>
  </si>
  <si>
    <t>1.15</t>
  </si>
  <si>
    <t>Battleship</t>
  </si>
  <si>
    <t>90.00</t>
  </si>
  <si>
    <t>7.50</t>
  </si>
  <si>
    <t>500</t>
  </si>
  <si>
    <t>3.4</t>
  </si>
  <si>
    <t>carrier_practical</t>
  </si>
  <si>
    <t>Carrier</t>
  </si>
  <si>
    <t>100.00</t>
  </si>
  <si>
    <t>4.50</t>
  </si>
  <si>
    <t>0.28</t>
  </si>
  <si>
    <t>destroyer_practical</t>
  </si>
  <si>
    <t>Destroyer</t>
  </si>
  <si>
    <t>1500.00</t>
  </si>
  <si>
    <t>50.00</t>
  </si>
  <si>
    <t>1.1</t>
  </si>
  <si>
    <t>2000.00</t>
  </si>
  <si>
    <t>0.58</t>
  </si>
  <si>
    <t>cruiser_practical</t>
  </si>
  <si>
    <t>HeavyCruiser</t>
  </si>
  <si>
    <t>0.40</t>
  </si>
  <si>
    <t>70.00</t>
  </si>
  <si>
    <t>LCTLandingcraft</t>
  </si>
  <si>
    <t>0.43</t>
  </si>
  <si>
    <t>LightCruiser</t>
  </si>
  <si>
    <t>0.36</t>
  </si>
  <si>
    <t>submarine_practical</t>
  </si>
  <si>
    <t>Submarine</t>
  </si>
  <si>
    <t>0.20</t>
  </si>
  <si>
    <t>240</t>
  </si>
  <si>
    <t>0.35</t>
  </si>
  <si>
    <t>25</t>
  </si>
  <si>
    <t>22.00</t>
  </si>
  <si>
    <t>90</t>
  </si>
  <si>
    <t>20</t>
  </si>
  <si>
    <t>Transportship</t>
  </si>
  <si>
    <t>40.00</t>
  </si>
  <si>
    <t>3000.00</t>
  </si>
  <si>
    <t>{
armor_brigade = 0.25
light_armor_brigade = 0.25
armored_car_brigade = 0.25
}</t>
  </si>
  <si>
    <t>Make changes to the yellow cells on Data</t>
  </si>
  <si>
    <t>Press F9</t>
  </si>
  <si>
    <t>Press this button to 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</si>
</sst>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 tint="0.79998168889431442"/>
      </top>
      <bottom style="thin">
        <color theme="6" tint="0.79998168889431442"/>
      </bottom>
      <diagonal/>
    </border>
  </borders>
  <cellStyleXfs count="730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12">
    <xf numFmtId="0" fontId="0" fillId="0" borderId="0" xfId="0"/>
    <xf numFmtId="0" fontId="0" fillId="0" borderId="1" xfId="0" applyFont="1" applyBorder="1" applyAlignment="1">
      <alignment horizontal="left"/>
    </xf>
    <xf numFmtId="0" fontId="0" fillId="0" borderId="0" xfId="0" applyFill="1"/>
    <xf numFmtId="0" fontId="0" fillId="0" borderId="0" xfId="0"/>
    <xf numFmtId="0" fontId="0" fillId="0" borderId="1" xfId="0" applyFont="1" applyFill="1" applyBorder="1" applyAlignment="1">
      <alignment horizontal="left"/>
    </xf>
    <xf numFmtId="0" fontId="0" fillId="2" borderId="0" xfId="0" applyFill="1"/>
    <xf numFmtId="2" fontId="0" fillId="2" borderId="0" xfId="0" applyNumberFormat="1" applyFill="1"/>
    <xf numFmtId="0" fontId="0" fillId="2" borderId="0" xfId="0" applyFill="1" applyAlignment="1">
      <alignment wrapText="1"/>
    </xf>
    <xf numFmtId="0" fontId="3" fillId="0" borderId="0" xfId="0" applyFont="1"/>
    <xf numFmtId="2" fontId="0" fillId="2" borderId="0" xfId="0" applyNumberFormat="1" applyFill="1" applyAlignment="1">
      <alignment horizontal="right"/>
    </xf>
    <xf numFmtId="0" fontId="0" fillId="2" borderId="0" xfId="0" applyFill="1" applyAlignment="1">
      <alignment horizontal="right"/>
    </xf>
    <xf numFmtId="43" fontId="0" fillId="2" borderId="0" xfId="729" applyNumberFormat="1" applyFont="1" applyFill="1"/>
  </cellXfs>
  <cellStyles count="730">
    <cellStyle name="Comma" xfId="729" builtinId="3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4</xdr:row>
          <xdr:rowOff>47625</xdr:rowOff>
        </xdr:from>
        <xdr:to>
          <xdr:col>4</xdr:col>
          <xdr:colOff>600075</xdr:colOff>
          <xdr:row>7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Z61"/>
  <sheetViews>
    <sheetView tabSelected="1" zoomScale="70" zoomScaleNormal="70" workbookViewId="0">
      <pane xSplit="2" ySplit="1" topLeftCell="BG2" activePane="bottomRight" state="frozen"/>
      <selection pane="topRight" activeCell="D1" sqref="D1"/>
      <selection pane="bottomLeft" activeCell="A2" sqref="A2"/>
      <selection pane="bottomRight" activeCell="DZ47" sqref="DZ47"/>
    </sheetView>
  </sheetViews>
  <sheetFormatPr defaultColWidth="11" defaultRowHeight="15.75" x14ac:dyDescent="0.25"/>
  <cols>
    <col min="1" max="1" width="98.5" style="2" customWidth="1"/>
    <col min="2" max="2" width="18.125" style="2" customWidth="1"/>
    <col min="3" max="3" width="24.5" style="2" customWidth="1"/>
    <col min="4" max="4" width="22" style="2" customWidth="1"/>
    <col min="5" max="5" width="18.5" style="2" customWidth="1"/>
    <col min="6" max="6" width="11" style="2"/>
    <col min="7" max="7" width="28.375" style="2" customWidth="1"/>
    <col min="8" max="8" width="17.875" style="2" customWidth="1"/>
    <col min="9" max="12" width="11" style="2"/>
    <col min="13" max="13" width="25.375" style="2" customWidth="1"/>
    <col min="14" max="15" width="11" style="2"/>
    <col min="16" max="16" width="18.75" style="2" customWidth="1"/>
    <col min="17" max="20" width="11" style="2"/>
    <col min="21" max="21" width="17.125" style="2" customWidth="1"/>
    <col min="22" max="25" width="11" style="2"/>
    <col min="26" max="26" width="18.5" style="2" customWidth="1"/>
    <col min="27" max="29" width="11" style="2"/>
    <col min="30" max="30" width="19.5" style="2" customWidth="1"/>
    <col min="31" max="62" width="11" style="2"/>
    <col min="63" max="63" width="12.875" style="2" customWidth="1"/>
    <col min="64" max="65" width="11" style="2"/>
    <col min="66" max="66" width="25.5" style="2" hidden="1" customWidth="1"/>
    <col min="67" max="67" width="10.125" style="2" hidden="1" customWidth="1"/>
    <col min="68" max="106" width="11" style="2" hidden="1" customWidth="1"/>
    <col min="107" max="107" width="40.625" style="2" hidden="1" customWidth="1"/>
    <col min="108" max="109" width="11" style="2" hidden="1" customWidth="1"/>
    <col min="110" max="110" width="38.625" style="2" hidden="1" customWidth="1"/>
    <col min="111" max="125" width="11" style="2" hidden="1" customWidth="1"/>
    <col min="126" max="126" width="18" style="2" hidden="1" customWidth="1"/>
    <col min="127" max="127" width="11" style="2" hidden="1" customWidth="1"/>
    <col min="128" max="128" width="30.875" style="2" hidden="1" customWidth="1"/>
    <col min="129" max="129" width="11" style="2" hidden="1" customWidth="1"/>
    <col min="130" max="16384" width="11" style="2"/>
  </cols>
  <sheetData>
    <row r="1" spans="1:130" x14ac:dyDescent="0.25">
      <c r="A1" s="2" t="str">
        <f ca="1">LEFT(CELL("filename"),FIND("zzz_tools",CELL("filename"))-1)</f>
        <v>C:\Program Files (x86)\Paradox Interactive\Hearts of Iron III\tfh\mod\ww1tfh\</v>
      </c>
      <c r="C1" s="4" t="s">
        <v>74</v>
      </c>
      <c r="D1" s="4" t="s">
        <v>75</v>
      </c>
      <c r="E1" s="4" t="s">
        <v>76</v>
      </c>
      <c r="F1" s="4" t="s">
        <v>77</v>
      </c>
      <c r="G1" s="4" t="s">
        <v>78</v>
      </c>
      <c r="H1" s="4" t="s">
        <v>79</v>
      </c>
      <c r="I1" s="4" t="s">
        <v>80</v>
      </c>
      <c r="J1" s="4" t="s">
        <v>81</v>
      </c>
      <c r="K1" s="4" t="s">
        <v>82</v>
      </c>
      <c r="L1" s="4" t="s">
        <v>83</v>
      </c>
      <c r="M1" s="4" t="s">
        <v>84</v>
      </c>
      <c r="N1" s="4" t="s">
        <v>85</v>
      </c>
      <c r="O1" s="4" t="s">
        <v>86</v>
      </c>
      <c r="P1" s="4" t="s">
        <v>87</v>
      </c>
      <c r="Q1" s="4" t="s">
        <v>88</v>
      </c>
      <c r="R1" s="4" t="s">
        <v>63</v>
      </c>
      <c r="S1" s="4" t="s">
        <v>52</v>
      </c>
      <c r="T1" s="4" t="s">
        <v>48</v>
      </c>
      <c r="U1" s="4" t="s">
        <v>64</v>
      </c>
      <c r="V1" s="4" t="s">
        <v>53</v>
      </c>
      <c r="W1" s="4" t="s">
        <v>59</v>
      </c>
      <c r="X1" s="4" t="s">
        <v>65</v>
      </c>
      <c r="Y1" s="4" t="s">
        <v>36</v>
      </c>
      <c r="Z1" s="4" t="s">
        <v>37</v>
      </c>
      <c r="AA1" s="4" t="s">
        <v>38</v>
      </c>
      <c r="AB1" s="4" t="s">
        <v>66</v>
      </c>
      <c r="AC1" s="4" t="s">
        <v>54</v>
      </c>
      <c r="AD1" s="4" t="s">
        <v>55</v>
      </c>
      <c r="AE1" s="4" t="s">
        <v>34</v>
      </c>
      <c r="AF1" s="4" t="s">
        <v>33</v>
      </c>
      <c r="AG1" s="4" t="s">
        <v>45</v>
      </c>
      <c r="AH1" s="4" t="s">
        <v>61</v>
      </c>
      <c r="AI1" s="4" t="s">
        <v>67</v>
      </c>
      <c r="AJ1" s="4" t="s">
        <v>43</v>
      </c>
      <c r="AK1" s="4" t="s">
        <v>51</v>
      </c>
      <c r="AL1" s="4" t="s">
        <v>58</v>
      </c>
      <c r="AM1" s="4" t="s">
        <v>68</v>
      </c>
      <c r="AN1" s="4" t="s">
        <v>69</v>
      </c>
      <c r="AO1" s="4" t="s">
        <v>70</v>
      </c>
      <c r="AP1" s="4" t="s">
        <v>60</v>
      </c>
      <c r="AQ1" s="4" t="s">
        <v>31</v>
      </c>
      <c r="AR1" s="4" t="s">
        <v>32</v>
      </c>
      <c r="AS1" s="4" t="s">
        <v>40</v>
      </c>
      <c r="AT1" s="4" t="s">
        <v>30</v>
      </c>
      <c r="AU1" s="4" t="s">
        <v>35</v>
      </c>
      <c r="AV1" s="4" t="s">
        <v>56</v>
      </c>
      <c r="AW1" s="4" t="s">
        <v>71</v>
      </c>
      <c r="AX1" s="4" t="s">
        <v>57</v>
      </c>
      <c r="AY1" s="4" t="s">
        <v>44</v>
      </c>
      <c r="AZ1" s="4" t="s">
        <v>39</v>
      </c>
      <c r="BA1" s="4" t="s">
        <v>72</v>
      </c>
      <c r="BB1" s="4" t="s">
        <v>50</v>
      </c>
      <c r="BC1" s="4" t="s">
        <v>47</v>
      </c>
      <c r="BD1" s="4" t="s">
        <v>28</v>
      </c>
      <c r="BE1" s="4" t="s">
        <v>42</v>
      </c>
      <c r="BF1" s="4" t="s">
        <v>49</v>
      </c>
      <c r="BG1" s="4" t="s">
        <v>46</v>
      </c>
      <c r="BH1" s="4" t="s">
        <v>41</v>
      </c>
      <c r="BI1" s="4" t="s">
        <v>27</v>
      </c>
      <c r="BJ1" s="4" t="s">
        <v>29</v>
      </c>
      <c r="BK1" s="4" t="s">
        <v>73</v>
      </c>
      <c r="BL1" s="4" t="s">
        <v>26</v>
      </c>
    </row>
    <row r="2" spans="1:130" x14ac:dyDescent="0.25">
      <c r="A2" s="2" t="str">
        <f ca="1">$A$1&amp;"units\"&amp;B2&amp;".txt"</f>
        <v>C:\Program Files (x86)\Paradox Interactive\Hearts of Iron III\tfh\mod\ww1tfh\units\Alpini_brigade.txt</v>
      </c>
      <c r="B2" s="2" t="s">
        <v>1</v>
      </c>
      <c r="C2" s="5" t="s">
        <v>62</v>
      </c>
      <c r="D2" s="5" t="s">
        <v>95</v>
      </c>
      <c r="E2" s="5" t="s">
        <v>62</v>
      </c>
      <c r="F2" s="5" t="s">
        <v>62</v>
      </c>
      <c r="G2" s="5" t="s">
        <v>96</v>
      </c>
      <c r="H2" s="5" t="s">
        <v>62</v>
      </c>
      <c r="I2" s="5" t="s">
        <v>97</v>
      </c>
      <c r="J2" s="5" t="s">
        <v>96</v>
      </c>
      <c r="K2" s="5" t="s">
        <v>62</v>
      </c>
      <c r="L2" s="5" t="s">
        <v>98</v>
      </c>
      <c r="M2" s="5" t="s">
        <v>62</v>
      </c>
      <c r="N2" s="5" t="s">
        <v>62</v>
      </c>
      <c r="O2" s="5" t="s">
        <v>62</v>
      </c>
      <c r="P2" s="5" t="s">
        <v>62</v>
      </c>
      <c r="Q2" s="5" t="s">
        <v>99</v>
      </c>
      <c r="R2" s="5" t="s">
        <v>62</v>
      </c>
      <c r="S2" s="5" t="s">
        <v>100</v>
      </c>
      <c r="T2" s="5" t="s">
        <v>101</v>
      </c>
      <c r="U2" s="5" t="s">
        <v>62</v>
      </c>
      <c r="V2" s="5" t="s">
        <v>102</v>
      </c>
      <c r="W2" s="5" t="s">
        <v>62</v>
      </c>
      <c r="X2" s="5" t="s">
        <v>62</v>
      </c>
      <c r="Y2" s="5">
        <v>6.23</v>
      </c>
      <c r="Z2" s="5">
        <v>9.33</v>
      </c>
      <c r="AA2" s="5" t="s">
        <v>103</v>
      </c>
      <c r="AB2" s="5"/>
      <c r="AC2" s="5">
        <v>2</v>
      </c>
      <c r="AD2" s="5" t="s">
        <v>104</v>
      </c>
      <c r="AE2" s="5">
        <v>0.45</v>
      </c>
      <c r="AF2" s="5">
        <v>35</v>
      </c>
      <c r="AG2" s="5" t="s">
        <v>105</v>
      </c>
      <c r="AH2" s="5" t="s">
        <v>62</v>
      </c>
      <c r="AI2" s="5" t="s">
        <v>62</v>
      </c>
      <c r="AJ2" s="5" t="s">
        <v>106</v>
      </c>
      <c r="AK2" s="5" t="s">
        <v>107</v>
      </c>
      <c r="AL2" s="5" t="s">
        <v>62</v>
      </c>
      <c r="AM2" s="5" t="s">
        <v>62</v>
      </c>
      <c r="AN2" s="5" t="s">
        <v>62</v>
      </c>
      <c r="AO2" s="5" t="s">
        <v>62</v>
      </c>
      <c r="AP2" s="5" t="s">
        <v>62</v>
      </c>
      <c r="AQ2" s="5" t="s">
        <v>108</v>
      </c>
      <c r="AR2" s="5">
        <v>70</v>
      </c>
      <c r="AS2" s="5" t="s">
        <v>109</v>
      </c>
      <c r="AT2" s="5" t="s">
        <v>110</v>
      </c>
      <c r="AU2" s="5">
        <v>250</v>
      </c>
      <c r="AV2" s="5" t="s">
        <v>111</v>
      </c>
      <c r="AW2" s="5" t="s">
        <v>62</v>
      </c>
      <c r="AX2" s="5" t="s">
        <v>112</v>
      </c>
      <c r="AY2" s="5" t="s">
        <v>102</v>
      </c>
      <c r="AZ2" s="5" t="s">
        <v>113</v>
      </c>
      <c r="BA2" s="5" t="s">
        <v>62</v>
      </c>
      <c r="BB2" s="5" t="s">
        <v>114</v>
      </c>
      <c r="BC2" s="5" t="s">
        <v>115</v>
      </c>
      <c r="BD2" s="5" t="s">
        <v>116</v>
      </c>
      <c r="BE2" s="5">
        <v>1.56</v>
      </c>
      <c r="BF2" s="5">
        <v>1.34</v>
      </c>
      <c r="BG2" s="6">
        <v>2.33</v>
      </c>
      <c r="BH2" s="5">
        <v>16</v>
      </c>
      <c r="BI2" s="5" t="s">
        <v>117</v>
      </c>
      <c r="BJ2" s="5" t="s">
        <v>118</v>
      </c>
      <c r="BK2" s="5"/>
      <c r="BL2" s="5" t="s">
        <v>119</v>
      </c>
      <c r="BN2" s="2" t="str">
        <f t="shared" ref="BN2:BN25" si="0">LOWER(B2)&amp;" = {"</f>
        <v>alpini_brigade = {</v>
      </c>
      <c r="BO2" s="2" t="str">
        <f>IF(C2="","",C$1&amp;" = "&amp;C2)</f>
        <v/>
      </c>
      <c r="BP2" s="2" t="str">
        <f t="shared" ref="BP2:BP27" si="1">IF(D2="","",D$1&amp;" = "&amp;D2)</f>
        <v xml:space="preserve">
arctic = {
attack = 0.60
defence = 0.25
movement = 0.20
}</v>
      </c>
      <c r="BQ2" s="2" t="str">
        <f t="shared" ref="BQ2:BQ27" si="2">IF(E2="","",E$1&amp;" = "&amp;E2)</f>
        <v/>
      </c>
      <c r="BR2" s="2" t="str">
        <f t="shared" ref="BR2:BR27" si="3">IF(F2="","",F$1&amp;" = "&amp;F2)</f>
        <v/>
      </c>
      <c r="BS2" s="2" t="str">
        <f t="shared" ref="BS2:BS27" si="4">IF(G2="","",G$1&amp;" = "&amp;G2)</f>
        <v xml:space="preserve">
forest = {
attack = 0.10
movement = 0.10
}</v>
      </c>
      <c r="BT2" s="2" t="str">
        <f t="shared" ref="BT2:BT27" si="5">IF(H2="","",H$1&amp;" = "&amp;H2)</f>
        <v/>
      </c>
      <c r="BU2" s="2" t="str">
        <f t="shared" ref="BU2:BU27" si="6">IF(I2="","",I$1&amp;" = "&amp;I2)</f>
        <v xml:space="preserve">
hills = {
attack = 0.50
defence = 0.15
movement = 0.10
}</v>
      </c>
      <c r="BV2" s="2" t="str">
        <f t="shared" ref="BV2:BV27" si="7">IF(J2="","",J$1&amp;" = "&amp;J2)</f>
        <v xml:space="preserve">
jungle = {
attack = 0.10
movement = 0.10
}</v>
      </c>
      <c r="BW2" s="2" t="str">
        <f t="shared" ref="BW2:BW27" si="8">IF(K2="","",K$1&amp;" = "&amp;K2)</f>
        <v/>
      </c>
      <c r="BX2" s="2" t="str">
        <f t="shared" ref="BX2:BX27" si="9">IF(L2="","",L$1&amp;" = "&amp;L2)</f>
        <v xml:space="preserve">
mountain = {
attack = 0.60
defence = 0.25
movement = 0.10
}</v>
      </c>
      <c r="BY2" s="2" t="str">
        <f t="shared" ref="BY2:BY27" si="10">IF(M2="","",M$1&amp;" = "&amp;M2)</f>
        <v/>
      </c>
      <c r="BZ2" s="2" t="str">
        <f t="shared" ref="BZ2:BZ27" si="11">IF(N2="","",N$1&amp;" = "&amp;N2)</f>
        <v/>
      </c>
      <c r="CA2" s="2" t="str">
        <f t="shared" ref="CA2:CA27" si="12">IF(O2="","",O$1&amp;" = "&amp;O2)</f>
        <v/>
      </c>
      <c r="CB2" s="2" t="str">
        <f t="shared" ref="CB2:CB27" si="13">IF(P2="","",P$1&amp;" = "&amp;P2)</f>
        <v/>
      </c>
      <c r="CC2" s="2" t="str">
        <f t="shared" ref="CC2:CC27" si="14">IF(Q2="","",Q$1&amp;" = "&amp;Q2)</f>
        <v xml:space="preserve">
woods = {
attack = 0.05
movement = 0.05
}</v>
      </c>
      <c r="CD2" s="2" t="str">
        <f t="shared" ref="CD2:CD27" si="15">IF(R2="","",R$1&amp;" = "&amp;R2)</f>
        <v/>
      </c>
      <c r="CE2" s="2" t="str">
        <f t="shared" ref="CE2:CE27" si="16">IF(S2="","",S$1&amp;" = "&amp;S2)</f>
        <v>air_attack = 0.10</v>
      </c>
      <c r="CF2" s="2" t="str">
        <f t="shared" ref="CF2:CF27" si="17">IF(T2="","",T$1&amp;" = "&amp;T2)</f>
        <v>air_defence = 2.50</v>
      </c>
      <c r="CG2" s="2" t="str">
        <f t="shared" ref="CG2:CG27" si="18">IF(U2="","",U$1&amp;" = "&amp;U2)</f>
        <v/>
      </c>
      <c r="CH2" s="2" t="str">
        <f t="shared" ref="CH2:CH27" si="19">IF(V2="","",V$1&amp;" = "&amp;V2)</f>
        <v>ap_attack = 1</v>
      </c>
      <c r="CI2" s="2" t="str">
        <f t="shared" ref="CI2:CI27" si="20">IF(W2="","",W$1&amp;" = "&amp;W2)</f>
        <v/>
      </c>
      <c r="CJ2" s="2" t="str">
        <f t="shared" ref="CJ2:CJ27" si="21">IF(X2="","",X$1&amp;" = "&amp;X2)</f>
        <v/>
      </c>
      <c r="CK2" s="2" t="str">
        <f t="shared" ref="CK2:CK27" si="22">IF(Y2="","",Y$1&amp;" = "&amp;Y2)</f>
        <v>build_cost_ic = 6.23</v>
      </c>
      <c r="CL2" s="2" t="str">
        <f t="shared" ref="CL2:CL27" si="23">IF(Z2="","",Z$1&amp;" = "&amp;Z2)</f>
        <v>build_cost_manpower = 9.33</v>
      </c>
      <c r="CM2" s="2" t="str">
        <f t="shared" ref="CM2:CM27" si="24">IF(AA2="","",AA$1&amp;" = "&amp;AA2)</f>
        <v>build_time = 160</v>
      </c>
      <c r="CN2" s="2" t="str">
        <f t="shared" ref="CN2:CN27" si="25">IF(AB2="","",AB$1&amp;" = "&amp;AB2)</f>
        <v/>
      </c>
      <c r="CO2" s="2" t="str">
        <f t="shared" ref="CO2:CO27" si="26">IF(AC2="","",AC$1&amp;" = "&amp;AC2)</f>
        <v>combat_width = 2</v>
      </c>
      <c r="CP2" s="2" t="str">
        <f t="shared" ref="CP2:CP27" si="27">IF(AD2="","",AD$1&amp;" = "&amp;AD2)</f>
        <v>completion_size = 0.3</v>
      </c>
      <c r="CQ2" s="2" t="str">
        <f t="shared" ref="CQ2:CQ27" si="28">IF(AE2="","",AE$1&amp;" = "&amp;AE2)</f>
        <v>default_morale = 0.45</v>
      </c>
      <c r="CR2" s="2" t="str">
        <f t="shared" ref="CR2:CR27" si="29">IF(AF2="","",AF$1&amp;" = "&amp;AF2)</f>
        <v>default_organisation = 35</v>
      </c>
      <c r="CS2" s="2" t="str">
        <f t="shared" ref="CS2:CS27" si="30">IF(AG2="","",AG$1&amp;" = "&amp;AG2)</f>
        <v>defensiveness = 4.00</v>
      </c>
      <c r="CT2" s="2" t="str">
        <f t="shared" ref="CT2:CT27" si="31">IF(AH2="","",AH$1&amp;" = "&amp;AH2)</f>
        <v/>
      </c>
      <c r="CU2" s="2" t="str">
        <f t="shared" ref="CU2:CU27" si="32">IF(AI2="","",AI$1&amp;" = "&amp;AI2)</f>
        <v/>
      </c>
      <c r="CV2" s="2" t="str">
        <f t="shared" ref="CV2:CV27" si="33">IF(AJ2="","",AJ$1&amp;" = "&amp;AJ2)</f>
        <v>fuel_consumption = 0.00</v>
      </c>
      <c r="CW2" s="2" t="str">
        <f t="shared" ref="CW2:CW27" si="34">IF(AK2="","",AK$1&amp;" = "&amp;AK2)</f>
        <v>hard_attack = 0.33</v>
      </c>
      <c r="CX2" s="2" t="str">
        <f t="shared" ref="CX2:CX27" si="35">IF(AL2="","",AL$1&amp;" = "&amp;AL2)</f>
        <v/>
      </c>
      <c r="CY2" s="2" t="str">
        <f t="shared" ref="CY2:CY27" si="36">IF(AM2="","",AM$1&amp;" = "&amp;AM2)</f>
        <v/>
      </c>
      <c r="CZ2" s="2" t="str">
        <f t="shared" ref="CZ2:CZ27" si="37">IF(AN2="","",AN$1&amp;" = "&amp;AN2)</f>
        <v/>
      </c>
      <c r="DA2" s="2" t="str">
        <f t="shared" ref="DA2:DA27" si="38">IF(AO2="","",AO$1&amp;" = "&amp;AO2)</f>
        <v/>
      </c>
      <c r="DB2" s="2" t="str">
        <f t="shared" ref="DB2:DB27" si="39">IF(AP2="","",AP$1&amp;" = "&amp;AP2)</f>
        <v/>
      </c>
      <c r="DC2" s="2" t="str">
        <f t="shared" ref="DC2:DC27" si="40">IF(AQ2="","",AQ$1&amp;" = "&amp;AQ2)</f>
        <v>max_percentage_of_type = 0.04</v>
      </c>
      <c r="DD2" s="2" t="str">
        <f t="shared" ref="DD2:DD27" si="41">IF(AR2="","",AR$1&amp;" = "&amp;AR2)</f>
        <v>max_strength = 70</v>
      </c>
      <c r="DE2" s="2" t="str">
        <f t="shared" ref="DE2:DE27" si="42">IF(AS2="","",AS$1&amp;" = "&amp;AS2)</f>
        <v>maximum_speed = 4.33</v>
      </c>
      <c r="DF2" s="2" t="str">
        <f t="shared" ref="DF2:DF27" si="43">IF(AT2="","",AT$1&amp;" = "&amp;AT2)</f>
        <v>minimum_of_type = 6</v>
      </c>
      <c r="DG2" s="2" t="str">
        <f t="shared" ref="DG2:DG27" si="44">IF(AU2="","",AU$1&amp;" = "&amp;AU2)</f>
        <v>officers = 250</v>
      </c>
      <c r="DH2" s="2" t="str">
        <f t="shared" ref="DH2:DH27" si="45">IF(AV2="","",AV$1&amp;" = "&amp;AV2)</f>
        <v>on_completion = infantry_practical</v>
      </c>
      <c r="DI2" s="2" t="str">
        <f t="shared" ref="DI2:DI27" si="46">IF(AW2="","",AW$1&amp;" = "&amp;AW2)</f>
        <v/>
      </c>
      <c r="DJ2" s="2" t="str">
        <f t="shared" ref="DJ2:DJ27" si="47">IF(AX2="","",AX$1&amp;" = "&amp;AX2)</f>
        <v>priority = 9</v>
      </c>
      <c r="DK2" s="2" t="str">
        <f t="shared" ref="DK2:DK27" si="48">IF(AY2="","",AY$1&amp;" = "&amp;AY2)</f>
        <v>radio_strength = 1</v>
      </c>
      <c r="DL2" s="2" t="str">
        <f t="shared" ref="DL2:DL27" si="49">IF(AZ2="","",AZ$1&amp;" = "&amp;AZ2)</f>
        <v>repair_cost_multiplier = 0.05</v>
      </c>
      <c r="DM2" s="2" t="str">
        <f t="shared" ref="DM2:DM27" si="50">IF(BA2="","",BA$1&amp;" = "&amp;BA2)</f>
        <v/>
      </c>
      <c r="DN2" s="2" t="str">
        <f t="shared" ref="DN2:DN27" si="51">IF(BB2="","",BB$1&amp;" = "&amp;BB2)</f>
        <v>soft_attack = 1.67</v>
      </c>
      <c r="DO2" s="2" t="str">
        <f t="shared" ref="DO2:DO27" si="52">IF(BC2="","",BC$1&amp;" = "&amp;BC2)</f>
        <v>softness = 1.00</v>
      </c>
      <c r="DP2" s="2" t="str">
        <f t="shared" ref="DP2:DP27" si="53">IF(BD2="","",BD$1&amp;" = "&amp;BD2)</f>
        <v>sprite = Elite</v>
      </c>
      <c r="DQ2" s="2" t="str">
        <f t="shared" ref="DQ2:DQ27" si="54">IF(BE2="","",BE$1&amp;" = "&amp;BE2)</f>
        <v>supply_consumption = 1.56</v>
      </c>
      <c r="DR2" s="2" t="str">
        <f t="shared" ref="DR2:DR27" si="55">IF(BF2="","",BF$1&amp;" = "&amp;BF2)</f>
        <v>suppression = 1.34</v>
      </c>
      <c r="DS2" s="2" t="str">
        <f t="shared" ref="DS2:DS27" si="56">IF(BG2="","",BG$1&amp;" = "&amp;BG2)</f>
        <v>toughness = 2.33</v>
      </c>
      <c r="DT2" s="2" t="str">
        <f t="shared" ref="DT2:DT27" si="57">IF(BH2="","",BH$1&amp;" = "&amp;BH2)</f>
        <v>transport_weight = 16</v>
      </c>
      <c r="DU2" s="2" t="str">
        <f t="shared" ref="DU2:DU27" si="58">IF(BI2="","",BI$1&amp;" = "&amp;BI2)</f>
        <v>type = land</v>
      </c>
      <c r="DV2" s="2" t="str">
        <f t="shared" ref="DV2:DV27" si="59">IF(BJ2="","",BJ$1&amp;" = "&amp;BJ2)</f>
        <v>unit_group = infantry_unit_type</v>
      </c>
      <c r="DW2" s="2" t="str">
        <f t="shared" ref="DW2:DW27" si="60">IF(BK2="","",BK$1&amp;" = "&amp;BK2)</f>
        <v/>
      </c>
      <c r="DX2" s="2" t="str">
        <f t="shared" ref="DX2:DX27" si="61">IF(BL2="","",BL$1&amp;" = "&amp;BL2)</f>
        <v>usable_by = { ITA }</v>
      </c>
      <c r="DY2" s="2" t="s">
        <v>0</v>
      </c>
      <c r="DZ2" s="2" t="str">
        <f>concat_code(BN2:DY2)</f>
        <v xml:space="preserve">alpini_brigade = {
arctic = {
attack = 0.60
defence = 0.25
movement = 0.20
}
forest = {
attack = 0.10
movement = 0.10
}
hills = {
attack = 0.50
defence = 0.15
movement = 0.10
}
jungle = {
attack = 0.10
movement = 0.10
}
mountain = {
attack = 0.60
defence = 0.25
movement = 0.10
}
woods = {
attack = 0.05
movement = 0.05
}
air_attack = 0.10
air_defence = 2.50
ap_attack = 1
build_cost_ic = 6.23
build_cost_manpower = 9.33
build_time = 160
combat_width = 2
completion_size = 0.3
default_morale = 0.45
default_organisation = 35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ITA }
}
</v>
      </c>
    </row>
    <row r="3" spans="1:130" x14ac:dyDescent="0.25">
      <c r="A3" s="2" t="str">
        <f ca="1">$A$1&amp;"units\"&amp;B3&amp;".txt"</f>
        <v>C:\Program Files (x86)\Paradox Interactive\Hearts of Iron III\tfh\mod\ww1tfh\units\Alpins_brigade.txt</v>
      </c>
      <c r="B3" s="2" t="s">
        <v>2</v>
      </c>
      <c r="C3" s="5" t="s">
        <v>62</v>
      </c>
      <c r="D3" s="5" t="s">
        <v>120</v>
      </c>
      <c r="E3" s="5" t="s">
        <v>62</v>
      </c>
      <c r="F3" s="5" t="s">
        <v>62</v>
      </c>
      <c r="G3" s="5" t="s">
        <v>96</v>
      </c>
      <c r="H3" s="5" t="s">
        <v>62</v>
      </c>
      <c r="I3" s="5" t="s">
        <v>121</v>
      </c>
      <c r="J3" s="5" t="s">
        <v>96</v>
      </c>
      <c r="K3" s="5" t="s">
        <v>62</v>
      </c>
      <c r="L3" s="5" t="s">
        <v>122</v>
      </c>
      <c r="M3" s="5" t="s">
        <v>62</v>
      </c>
      <c r="N3" s="5" t="s">
        <v>62</v>
      </c>
      <c r="O3" s="5" t="s">
        <v>62</v>
      </c>
      <c r="P3" s="5" t="s">
        <v>62</v>
      </c>
      <c r="Q3" s="5" t="s">
        <v>99</v>
      </c>
      <c r="R3" s="5" t="s">
        <v>62</v>
      </c>
      <c r="S3" s="5" t="s">
        <v>100</v>
      </c>
      <c r="T3" s="5" t="s">
        <v>101</v>
      </c>
      <c r="U3" s="5" t="s">
        <v>62</v>
      </c>
      <c r="V3" s="5" t="s">
        <v>102</v>
      </c>
      <c r="W3" s="5" t="s">
        <v>62</v>
      </c>
      <c r="X3" s="5" t="s">
        <v>62</v>
      </c>
      <c r="Y3" s="5">
        <v>6.23</v>
      </c>
      <c r="Z3" s="5">
        <v>9.33</v>
      </c>
      <c r="AA3" s="5" t="s">
        <v>103</v>
      </c>
      <c r="AB3" s="5"/>
      <c r="AC3" s="5">
        <v>2</v>
      </c>
      <c r="AD3" s="5" t="s">
        <v>104</v>
      </c>
      <c r="AE3" s="5">
        <v>0.4</v>
      </c>
      <c r="AF3" s="5">
        <v>40</v>
      </c>
      <c r="AG3" s="5" t="s">
        <v>105</v>
      </c>
      <c r="AH3" s="5" t="s">
        <v>62</v>
      </c>
      <c r="AI3" s="5" t="s">
        <v>62</v>
      </c>
      <c r="AJ3" s="5" t="s">
        <v>106</v>
      </c>
      <c r="AK3" s="5" t="s">
        <v>107</v>
      </c>
      <c r="AL3" s="5" t="s">
        <v>62</v>
      </c>
      <c r="AM3" s="5" t="s">
        <v>62</v>
      </c>
      <c r="AN3" s="5" t="s">
        <v>62</v>
      </c>
      <c r="AO3" s="5" t="s">
        <v>62</v>
      </c>
      <c r="AP3" s="5" t="s">
        <v>62</v>
      </c>
      <c r="AQ3" s="5" t="s">
        <v>108</v>
      </c>
      <c r="AR3" s="5">
        <v>70</v>
      </c>
      <c r="AS3" s="5" t="s">
        <v>109</v>
      </c>
      <c r="AT3" s="5" t="s">
        <v>110</v>
      </c>
      <c r="AU3" s="5">
        <v>250</v>
      </c>
      <c r="AV3" s="5" t="s">
        <v>111</v>
      </c>
      <c r="AW3" s="5" t="s">
        <v>62</v>
      </c>
      <c r="AX3" s="5" t="s">
        <v>112</v>
      </c>
      <c r="AY3" s="5" t="s">
        <v>102</v>
      </c>
      <c r="AZ3" s="5" t="s">
        <v>113</v>
      </c>
      <c r="BA3" s="5" t="s">
        <v>62</v>
      </c>
      <c r="BB3" s="5" t="s">
        <v>114</v>
      </c>
      <c r="BC3" s="5" t="s">
        <v>115</v>
      </c>
      <c r="BD3" s="5" t="s">
        <v>116</v>
      </c>
      <c r="BE3" s="5">
        <v>1.56</v>
      </c>
      <c r="BF3" s="5">
        <v>1.34</v>
      </c>
      <c r="BG3" s="6">
        <v>2.33</v>
      </c>
      <c r="BH3" s="5">
        <v>16</v>
      </c>
      <c r="BI3" s="5" t="s">
        <v>117</v>
      </c>
      <c r="BJ3" s="5" t="s">
        <v>118</v>
      </c>
      <c r="BK3" s="5"/>
      <c r="BL3" s="5" t="s">
        <v>123</v>
      </c>
      <c r="BN3" s="2" t="str">
        <f t="shared" si="0"/>
        <v>alpins_brigade = {</v>
      </c>
      <c r="BO3" s="2" t="str">
        <f t="shared" ref="BO3:BO27" si="62">IF(C3="","",C$1&amp;" = "&amp;C3)</f>
        <v/>
      </c>
      <c r="BP3" s="2" t="str">
        <f t="shared" si="1"/>
        <v xml:space="preserve">
arctic = {
attack = 0.55
defence = 0.30
movement = 0.20
}</v>
      </c>
      <c r="BQ3" s="2" t="str">
        <f t="shared" si="2"/>
        <v/>
      </c>
      <c r="BR3" s="2" t="str">
        <f t="shared" si="3"/>
        <v/>
      </c>
      <c r="BS3" s="2" t="str">
        <f t="shared" si="4"/>
        <v xml:space="preserve">
forest = {
attack = 0.10
movement = 0.10
}</v>
      </c>
      <c r="BT3" s="2" t="str">
        <f t="shared" si="5"/>
        <v/>
      </c>
      <c r="BU3" s="2" t="str">
        <f t="shared" si="6"/>
        <v xml:space="preserve">
hills = {
attack = 0.45
defence = 0.20
movement = 0.10
}</v>
      </c>
      <c r="BV3" s="2" t="str">
        <f t="shared" si="7"/>
        <v xml:space="preserve">
jungle = {
attack = 0.10
movement = 0.10
}</v>
      </c>
      <c r="BW3" s="2" t="str">
        <f t="shared" si="8"/>
        <v/>
      </c>
      <c r="BX3" s="2" t="str">
        <f t="shared" si="9"/>
        <v xml:space="preserve">
mountain = {
attack = 0.55
defence = 0.30
movement = 0.10
}</v>
      </c>
      <c r="BY3" s="2" t="str">
        <f t="shared" si="10"/>
        <v/>
      </c>
      <c r="BZ3" s="2" t="str">
        <f t="shared" si="11"/>
        <v/>
      </c>
      <c r="CA3" s="2" t="str">
        <f t="shared" si="12"/>
        <v/>
      </c>
      <c r="CB3" s="2" t="str">
        <f t="shared" si="13"/>
        <v/>
      </c>
      <c r="CC3" s="2" t="str">
        <f t="shared" si="14"/>
        <v xml:space="preserve">
woods = {
attack = 0.05
movement = 0.05
}</v>
      </c>
      <c r="CD3" s="2" t="str">
        <f t="shared" si="15"/>
        <v/>
      </c>
      <c r="CE3" s="2" t="str">
        <f t="shared" si="16"/>
        <v>air_attack = 0.10</v>
      </c>
      <c r="CF3" s="2" t="str">
        <f t="shared" si="17"/>
        <v>air_defence = 2.50</v>
      </c>
      <c r="CG3" s="2" t="str">
        <f t="shared" si="18"/>
        <v/>
      </c>
      <c r="CH3" s="2" t="str">
        <f t="shared" si="19"/>
        <v>ap_attack = 1</v>
      </c>
      <c r="CI3" s="2" t="str">
        <f t="shared" si="20"/>
        <v/>
      </c>
      <c r="CJ3" s="2" t="str">
        <f t="shared" si="21"/>
        <v/>
      </c>
      <c r="CK3" s="2" t="str">
        <f t="shared" si="22"/>
        <v>build_cost_ic = 6.23</v>
      </c>
      <c r="CL3" s="2" t="str">
        <f t="shared" si="23"/>
        <v>build_cost_manpower = 9.33</v>
      </c>
      <c r="CM3" s="2" t="str">
        <f t="shared" si="24"/>
        <v>build_time = 160</v>
      </c>
      <c r="CN3" s="2" t="str">
        <f t="shared" si="25"/>
        <v/>
      </c>
      <c r="CO3" s="2" t="str">
        <f t="shared" si="26"/>
        <v>combat_width = 2</v>
      </c>
      <c r="CP3" s="2" t="str">
        <f t="shared" si="27"/>
        <v>completion_size = 0.3</v>
      </c>
      <c r="CQ3" s="2" t="str">
        <f t="shared" si="28"/>
        <v>default_morale = 0.4</v>
      </c>
      <c r="CR3" s="2" t="str">
        <f t="shared" si="29"/>
        <v>default_organisation = 40</v>
      </c>
      <c r="CS3" s="2" t="str">
        <f t="shared" si="30"/>
        <v>defensiveness = 4.00</v>
      </c>
      <c r="CT3" s="2" t="str">
        <f t="shared" si="31"/>
        <v/>
      </c>
      <c r="CU3" s="2" t="str">
        <f t="shared" si="32"/>
        <v/>
      </c>
      <c r="CV3" s="2" t="str">
        <f t="shared" si="33"/>
        <v>fuel_consumption = 0.00</v>
      </c>
      <c r="CW3" s="2" t="str">
        <f t="shared" si="34"/>
        <v>hard_attack = 0.33</v>
      </c>
      <c r="CX3" s="2" t="str">
        <f t="shared" si="35"/>
        <v/>
      </c>
      <c r="CY3" s="2" t="str">
        <f t="shared" si="36"/>
        <v/>
      </c>
      <c r="CZ3" s="2" t="str">
        <f t="shared" si="37"/>
        <v/>
      </c>
      <c r="DA3" s="2" t="str">
        <f t="shared" si="38"/>
        <v/>
      </c>
      <c r="DB3" s="2" t="str">
        <f t="shared" si="39"/>
        <v/>
      </c>
      <c r="DC3" s="2" t="str">
        <f t="shared" si="40"/>
        <v>max_percentage_of_type = 0.04</v>
      </c>
      <c r="DD3" s="2" t="str">
        <f t="shared" si="41"/>
        <v>max_strength = 70</v>
      </c>
      <c r="DE3" s="2" t="str">
        <f t="shared" si="42"/>
        <v>maximum_speed = 4.33</v>
      </c>
      <c r="DF3" s="2" t="str">
        <f t="shared" si="43"/>
        <v>minimum_of_type = 6</v>
      </c>
      <c r="DG3" s="2" t="str">
        <f t="shared" si="44"/>
        <v>officers = 250</v>
      </c>
      <c r="DH3" s="2" t="str">
        <f t="shared" si="45"/>
        <v>on_completion = infantry_practical</v>
      </c>
      <c r="DI3" s="2" t="str">
        <f t="shared" si="46"/>
        <v/>
      </c>
      <c r="DJ3" s="2" t="str">
        <f t="shared" si="47"/>
        <v>priority = 9</v>
      </c>
      <c r="DK3" s="2" t="str">
        <f t="shared" si="48"/>
        <v>radio_strength = 1</v>
      </c>
      <c r="DL3" s="2" t="str">
        <f t="shared" si="49"/>
        <v>repair_cost_multiplier = 0.05</v>
      </c>
      <c r="DM3" s="2" t="str">
        <f t="shared" si="50"/>
        <v/>
      </c>
      <c r="DN3" s="2" t="str">
        <f t="shared" si="51"/>
        <v>soft_attack = 1.67</v>
      </c>
      <c r="DO3" s="2" t="str">
        <f t="shared" si="52"/>
        <v>softness = 1.00</v>
      </c>
      <c r="DP3" s="2" t="str">
        <f t="shared" si="53"/>
        <v>sprite = Elite</v>
      </c>
      <c r="DQ3" s="2" t="str">
        <f t="shared" si="54"/>
        <v>supply_consumption = 1.56</v>
      </c>
      <c r="DR3" s="2" t="str">
        <f t="shared" si="55"/>
        <v>suppression = 1.34</v>
      </c>
      <c r="DS3" s="2" t="str">
        <f t="shared" si="56"/>
        <v>toughness = 2.33</v>
      </c>
      <c r="DT3" s="2" t="str">
        <f t="shared" si="57"/>
        <v>transport_weight = 16</v>
      </c>
      <c r="DU3" s="2" t="str">
        <f t="shared" si="58"/>
        <v>type = land</v>
      </c>
      <c r="DV3" s="2" t="str">
        <f t="shared" si="59"/>
        <v>unit_group = infantry_unit_type</v>
      </c>
      <c r="DW3" s="2" t="str">
        <f t="shared" si="60"/>
        <v/>
      </c>
      <c r="DX3" s="2" t="str">
        <f t="shared" si="61"/>
        <v>usable_by = { FRA }</v>
      </c>
      <c r="DY3" s="2" t="s">
        <v>0</v>
      </c>
      <c r="DZ3" s="2" t="str">
        <f t="shared" ref="DZ3:DZ26" si="63">concat_code(BN3:DY3)</f>
        <v xml:space="preserve">alpins_brigade = {
arctic = {
attack = 0.55
defence = 0.30
movement = 0.20
}
forest = {
attack = 0.10
movement = 0.10
}
hills = {
attack = 0.45
defence = 0.20
movement = 0.10
}
jungle = {
attack = 0.10
movement = 0.10
}
mountain = {
attack = 0.55
defence = 0.30
movement = 0.10
}
woods = {
attack = 0.05
movement = 0.05
}
air_attack = 0.10
air_defence = 2.50
ap_attack = 1
build_cost_ic = 6.23
build_cost_manpower = 9.33
build_time = 160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16
type = land
unit_group = infantry_unit_type
usable_by = { FRA }
}
</v>
      </c>
    </row>
    <row r="4" spans="1:130" x14ac:dyDescent="0.25">
      <c r="A4" s="2" t="str">
        <f t="shared" ref="A4:A27" ca="1" si="64">$A$1&amp;"units\"&amp;B4&amp;".txt"</f>
        <v>C:\Program Files (x86)\Paradox Interactive\Hearts of Iron III\tfh\mod\ww1tfh\units\anti_air_brigade.txt</v>
      </c>
      <c r="B4" s="2" t="s">
        <v>3</v>
      </c>
      <c r="C4" s="5" t="s">
        <v>62</v>
      </c>
      <c r="D4" s="5" t="s">
        <v>62</v>
      </c>
      <c r="E4" s="5" t="s">
        <v>62</v>
      </c>
      <c r="F4" s="5" t="s">
        <v>62</v>
      </c>
      <c r="G4" s="5" t="s">
        <v>124</v>
      </c>
      <c r="H4" s="5" t="s">
        <v>62</v>
      </c>
      <c r="I4" s="5" t="s">
        <v>125</v>
      </c>
      <c r="J4" s="5" t="s">
        <v>126</v>
      </c>
      <c r="K4" s="5" t="s">
        <v>127</v>
      </c>
      <c r="L4" s="5" t="s">
        <v>127</v>
      </c>
      <c r="M4" s="5" t="s">
        <v>62</v>
      </c>
      <c r="N4" s="5" t="s">
        <v>62</v>
      </c>
      <c r="O4" s="5" t="s">
        <v>62</v>
      </c>
      <c r="P4" s="5" t="s">
        <v>128</v>
      </c>
      <c r="Q4" s="5" t="s">
        <v>125</v>
      </c>
      <c r="R4" s="5" t="s">
        <v>90</v>
      </c>
      <c r="S4" s="5" t="s">
        <v>129</v>
      </c>
      <c r="T4" s="5" t="s">
        <v>129</v>
      </c>
      <c r="U4" s="5" t="s">
        <v>130</v>
      </c>
      <c r="V4" s="5" t="s">
        <v>62</v>
      </c>
      <c r="W4" s="5" t="s">
        <v>62</v>
      </c>
      <c r="X4" s="5" t="s">
        <v>62</v>
      </c>
      <c r="Y4" s="5" t="s">
        <v>131</v>
      </c>
      <c r="Z4" s="5" t="s">
        <v>114</v>
      </c>
      <c r="AA4" s="5" t="s">
        <v>132</v>
      </c>
      <c r="AB4" s="5"/>
      <c r="AC4" s="5" t="s">
        <v>133</v>
      </c>
      <c r="AD4" s="5" t="s">
        <v>134</v>
      </c>
      <c r="AE4" s="5">
        <v>0.25</v>
      </c>
      <c r="AF4" s="5">
        <v>20</v>
      </c>
      <c r="AG4" s="5" t="s">
        <v>135</v>
      </c>
      <c r="AH4" s="5" t="s">
        <v>62</v>
      </c>
      <c r="AI4" s="5" t="s">
        <v>62</v>
      </c>
      <c r="AJ4" s="5" t="s">
        <v>106</v>
      </c>
      <c r="AK4" s="5" t="s">
        <v>115</v>
      </c>
      <c r="AL4" s="5" t="s">
        <v>62</v>
      </c>
      <c r="AM4" s="5" t="s">
        <v>62</v>
      </c>
      <c r="AN4" s="5" t="s">
        <v>62</v>
      </c>
      <c r="AO4" s="5" t="s">
        <v>62</v>
      </c>
      <c r="AP4" s="5" t="s">
        <v>62</v>
      </c>
      <c r="AQ4" s="5" t="s">
        <v>62</v>
      </c>
      <c r="AR4" s="5" t="s">
        <v>136</v>
      </c>
      <c r="AS4" s="5" t="s">
        <v>105</v>
      </c>
      <c r="AT4" s="5" t="s">
        <v>62</v>
      </c>
      <c r="AU4" s="5" t="s">
        <v>137</v>
      </c>
      <c r="AV4" s="5" t="s">
        <v>138</v>
      </c>
      <c r="AW4" s="5" t="s">
        <v>62</v>
      </c>
      <c r="AX4" s="5" t="s">
        <v>139</v>
      </c>
      <c r="AY4" s="5" t="s">
        <v>102</v>
      </c>
      <c r="AZ4" s="5" t="s">
        <v>113</v>
      </c>
      <c r="BA4" s="5" t="s">
        <v>140</v>
      </c>
      <c r="BB4" s="5" t="s">
        <v>141</v>
      </c>
      <c r="BC4" s="5" t="s">
        <v>142</v>
      </c>
      <c r="BD4" s="5" t="s">
        <v>143</v>
      </c>
      <c r="BE4" s="5">
        <v>1.56</v>
      </c>
      <c r="BF4" s="5">
        <v>0</v>
      </c>
      <c r="BG4" s="6">
        <v>0.7</v>
      </c>
      <c r="BH4" s="5" t="s">
        <v>129</v>
      </c>
      <c r="BI4" s="5" t="s">
        <v>117</v>
      </c>
      <c r="BJ4" s="5" t="s">
        <v>144</v>
      </c>
      <c r="BK4" s="5"/>
      <c r="BL4" s="5" t="s">
        <v>62</v>
      </c>
      <c r="BN4" s="2" t="str">
        <f t="shared" si="0"/>
        <v>anti_air_brigade = {</v>
      </c>
      <c r="BO4" s="2" t="str">
        <f t="shared" si="62"/>
        <v/>
      </c>
      <c r="BP4" s="2" t="str">
        <f t="shared" si="1"/>
        <v/>
      </c>
      <c r="BQ4" s="2" t="str">
        <f t="shared" si="2"/>
        <v/>
      </c>
      <c r="BR4" s="2" t="str">
        <f t="shared" si="3"/>
        <v/>
      </c>
      <c r="BS4" s="2" t="str">
        <f t="shared" si="4"/>
        <v xml:space="preserve">
forest = {
attack = -0.20
movement = -0.20
}</v>
      </c>
      <c r="BT4" s="2" t="str">
        <f t="shared" si="5"/>
        <v/>
      </c>
      <c r="BU4" s="2" t="str">
        <f t="shared" si="6"/>
        <v xml:space="preserve">
hills = {
attack = -0.10
movement = -0.10
}</v>
      </c>
      <c r="BV4" s="2" t="str">
        <f t="shared" si="7"/>
        <v xml:space="preserve">
jungle = {
attack = -0.30
movement = -0.30
}</v>
      </c>
      <c r="BW4" s="2" t="str">
        <f t="shared" si="8"/>
        <v xml:space="preserve">
marsh = {
attack = -0.20
movement = -0.70
}</v>
      </c>
      <c r="BX4" s="2" t="str">
        <f t="shared" si="9"/>
        <v xml:space="preserve">
mountain = {
attack = -0.20
movement = -0.70
}</v>
      </c>
      <c r="BY4" s="2" t="str">
        <f t="shared" si="10"/>
        <v/>
      </c>
      <c r="BZ4" s="2" t="str">
        <f t="shared" si="11"/>
        <v/>
      </c>
      <c r="CA4" s="2" t="str">
        <f t="shared" si="12"/>
        <v/>
      </c>
      <c r="CB4" s="2" t="str">
        <f t="shared" si="13"/>
        <v xml:space="preserve">
urban = {
attack = -0.20
}</v>
      </c>
      <c r="CC4" s="2" t="str">
        <f t="shared" si="14"/>
        <v xml:space="preserve">
woods = {
attack = -0.10
movement = -0.10
}</v>
      </c>
      <c r="CD4" s="2" t="str">
        <f t="shared" si="15"/>
        <v>active = no</v>
      </c>
      <c r="CE4" s="2" t="str">
        <f t="shared" si="16"/>
        <v>air_attack = 5.00</v>
      </c>
      <c r="CF4" s="2" t="str">
        <f t="shared" si="17"/>
        <v>air_defence = 5.00</v>
      </c>
      <c r="CG4" s="2" t="str">
        <f t="shared" si="18"/>
        <v>amphibious = { attack = -0.40 }</v>
      </c>
      <c r="CH4" s="2" t="str">
        <f t="shared" si="19"/>
        <v/>
      </c>
      <c r="CI4" s="2" t="str">
        <f t="shared" si="20"/>
        <v/>
      </c>
      <c r="CJ4" s="2" t="str">
        <f t="shared" si="21"/>
        <v/>
      </c>
      <c r="CK4" s="2" t="str">
        <f t="shared" si="22"/>
        <v>build_cost_ic = 2.33</v>
      </c>
      <c r="CL4" s="2" t="str">
        <f t="shared" si="23"/>
        <v>build_cost_manpower = 1.67</v>
      </c>
      <c r="CM4" s="2" t="str">
        <f t="shared" si="24"/>
        <v>build_time = 95</v>
      </c>
      <c r="CN4" s="2" t="str">
        <f t="shared" si="25"/>
        <v/>
      </c>
      <c r="CO4" s="2" t="str">
        <f t="shared" si="26"/>
        <v>combat_width = 0</v>
      </c>
      <c r="CP4" s="2" t="str">
        <f t="shared" si="27"/>
        <v>completion_size = 0.2</v>
      </c>
      <c r="CQ4" s="2" t="str">
        <f t="shared" si="28"/>
        <v>default_morale = 0.25</v>
      </c>
      <c r="CR4" s="2" t="str">
        <f t="shared" si="29"/>
        <v>default_organisation = 20</v>
      </c>
      <c r="CS4" s="2" t="str">
        <f t="shared" si="30"/>
        <v>defensiveness = 2.00</v>
      </c>
      <c r="CT4" s="2" t="str">
        <f t="shared" si="31"/>
        <v/>
      </c>
      <c r="CU4" s="2" t="str">
        <f t="shared" si="32"/>
        <v/>
      </c>
      <c r="CV4" s="2" t="str">
        <f t="shared" si="33"/>
        <v>fuel_consumption = 0.00</v>
      </c>
      <c r="CW4" s="2" t="str">
        <f t="shared" si="34"/>
        <v>hard_attack = 1.00</v>
      </c>
      <c r="CX4" s="2" t="str">
        <f t="shared" si="35"/>
        <v/>
      </c>
      <c r="CY4" s="2" t="str">
        <f t="shared" si="36"/>
        <v/>
      </c>
      <c r="CZ4" s="2" t="str">
        <f t="shared" si="37"/>
        <v/>
      </c>
      <c r="DA4" s="2" t="str">
        <f t="shared" si="38"/>
        <v/>
      </c>
      <c r="DB4" s="2" t="str">
        <f t="shared" si="39"/>
        <v/>
      </c>
      <c r="DC4" s="2" t="str">
        <f t="shared" si="40"/>
        <v/>
      </c>
      <c r="DD4" s="2" t="str">
        <f t="shared" si="41"/>
        <v>max_strength = 10</v>
      </c>
      <c r="DE4" s="2" t="str">
        <f t="shared" si="42"/>
        <v>maximum_speed = 4.00</v>
      </c>
      <c r="DF4" s="2" t="str">
        <f t="shared" si="43"/>
        <v/>
      </c>
      <c r="DG4" s="2" t="str">
        <f t="shared" si="44"/>
        <v>officers = 100</v>
      </c>
      <c r="DH4" s="2" t="str">
        <f t="shared" si="45"/>
        <v>on_completion = artillery_practical</v>
      </c>
      <c r="DI4" s="2" t="str">
        <f t="shared" si="46"/>
        <v/>
      </c>
      <c r="DJ4" s="2" t="str">
        <f t="shared" si="47"/>
        <v>priority = 3</v>
      </c>
      <c r="DK4" s="2" t="str">
        <f t="shared" si="48"/>
        <v>radio_strength = 1</v>
      </c>
      <c r="DL4" s="2" t="str">
        <f t="shared" si="49"/>
        <v>repair_cost_multiplier = 0.05</v>
      </c>
      <c r="DM4" s="2" t="str">
        <f t="shared" si="50"/>
        <v>river = { attack = -0.05 }</v>
      </c>
      <c r="DN4" s="2" t="str">
        <f t="shared" si="51"/>
        <v>soft_attack = 0.70</v>
      </c>
      <c r="DO4" s="2" t="str">
        <f t="shared" si="52"/>
        <v>softness = 0.80</v>
      </c>
      <c r="DP4" s="2" t="str">
        <f t="shared" si="53"/>
        <v>sprite = Infantry</v>
      </c>
      <c r="DQ4" s="2" t="str">
        <f t="shared" si="54"/>
        <v>supply_consumption = 1.56</v>
      </c>
      <c r="DR4" s="2" t="str">
        <f t="shared" si="55"/>
        <v>suppression = 0</v>
      </c>
      <c r="DS4" s="2" t="str">
        <f t="shared" si="56"/>
        <v>toughness = 0.7</v>
      </c>
      <c r="DT4" s="2" t="str">
        <f t="shared" si="57"/>
        <v>transport_weight = 5.00</v>
      </c>
      <c r="DU4" s="2" t="str">
        <f t="shared" si="58"/>
        <v>type = land</v>
      </c>
      <c r="DV4" s="2" t="str">
        <f t="shared" si="59"/>
        <v>unit_group = direct_fire_unit_type</v>
      </c>
      <c r="DW4" s="2" t="str">
        <f t="shared" si="60"/>
        <v/>
      </c>
      <c r="DX4" s="2" t="str">
        <f t="shared" si="61"/>
        <v/>
      </c>
      <c r="DY4" s="2" t="s">
        <v>0</v>
      </c>
      <c r="DZ4" s="2" t="str">
        <f t="shared" si="63"/>
        <v xml:space="preserve">anti_air_brigade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5.00
air_defence = 5.00
amphibious = { attack = -0.40 }
build_cost_ic = 2.33
build_cost_manpower = 1.67
build_time = 95
combat_width = 0
completion_size = 0.2
default_morale = 0.25
default_organisation = 20
defensiveness = 2.00
fuel_consumption = 0.00
hard_attack = 1.00
max_strength = 10
maximum_speed = 4.00
officers = 100
on_completion = artillery_practical
priority = 3
radio_strength = 1
repair_cost_multiplier = 0.05
river = { attack = -0.05 }
soft_attack = 0.70
softness = 0.80
sprite = Infantry
supply_consumption = 1.56
suppression = 0
toughness = 0.7
transport_weight = 5.00
type = land
unit_group = direct_fire_unit_type
}
</v>
      </c>
    </row>
    <row r="5" spans="1:130" x14ac:dyDescent="0.25">
      <c r="A5" s="2" t="str">
        <f t="shared" ca="1" si="64"/>
        <v>C:\Program Files (x86)\Paradox Interactive\Hearts of Iron III\tfh\mod\ww1tfh\units\anti_tank_brigade.txt</v>
      </c>
      <c r="B5" s="2" t="s">
        <v>4</v>
      </c>
      <c r="C5" s="5" t="s">
        <v>62</v>
      </c>
      <c r="D5" s="5" t="s">
        <v>62</v>
      </c>
      <c r="E5" s="5" t="s">
        <v>62</v>
      </c>
      <c r="F5" s="5" t="s">
        <v>62</v>
      </c>
      <c r="G5" s="5" t="s">
        <v>124</v>
      </c>
      <c r="H5" s="5" t="s">
        <v>62</v>
      </c>
      <c r="I5" s="5" t="s">
        <v>125</v>
      </c>
      <c r="J5" s="5" t="s">
        <v>126</v>
      </c>
      <c r="K5" s="5" t="s">
        <v>127</v>
      </c>
      <c r="L5" s="5" t="s">
        <v>127</v>
      </c>
      <c r="M5" s="5" t="s">
        <v>62</v>
      </c>
      <c r="N5" s="5" t="s">
        <v>62</v>
      </c>
      <c r="O5" s="5" t="s">
        <v>62</v>
      </c>
      <c r="P5" s="5" t="s">
        <v>128</v>
      </c>
      <c r="Q5" s="5" t="s">
        <v>125</v>
      </c>
      <c r="R5" s="5" t="s">
        <v>90</v>
      </c>
      <c r="S5" s="5" t="s">
        <v>100</v>
      </c>
      <c r="T5" s="5" t="s">
        <v>145</v>
      </c>
      <c r="U5" s="5" t="s">
        <v>130</v>
      </c>
      <c r="V5" s="5" t="s">
        <v>146</v>
      </c>
      <c r="W5" s="5" t="s">
        <v>62</v>
      </c>
      <c r="X5" s="5" t="s">
        <v>62</v>
      </c>
      <c r="Y5" s="5" t="s">
        <v>147</v>
      </c>
      <c r="Z5" s="5" t="s">
        <v>148</v>
      </c>
      <c r="AA5" s="5" t="s">
        <v>137</v>
      </c>
      <c r="AB5" s="5"/>
      <c r="AC5" s="5" t="s">
        <v>133</v>
      </c>
      <c r="AD5" s="5" t="s">
        <v>104</v>
      </c>
      <c r="AE5" s="5">
        <v>0.25</v>
      </c>
      <c r="AF5" s="5">
        <v>20</v>
      </c>
      <c r="AG5" s="5" t="s">
        <v>135</v>
      </c>
      <c r="AH5" s="5" t="s">
        <v>62</v>
      </c>
      <c r="AI5" s="5" t="s">
        <v>62</v>
      </c>
      <c r="AJ5" s="5" t="s">
        <v>106</v>
      </c>
      <c r="AK5" s="5" t="s">
        <v>101</v>
      </c>
      <c r="AL5" s="5" t="s">
        <v>62</v>
      </c>
      <c r="AM5" s="5" t="s">
        <v>62</v>
      </c>
      <c r="AN5" s="5" t="s">
        <v>62</v>
      </c>
      <c r="AO5" s="5" t="s">
        <v>62</v>
      </c>
      <c r="AP5" s="5" t="s">
        <v>62</v>
      </c>
      <c r="AQ5" s="5" t="s">
        <v>62</v>
      </c>
      <c r="AR5" s="5" t="s">
        <v>136</v>
      </c>
      <c r="AS5" s="5" t="s">
        <v>105</v>
      </c>
      <c r="AT5" s="5" t="s">
        <v>62</v>
      </c>
      <c r="AU5" s="5" t="s">
        <v>137</v>
      </c>
      <c r="AV5" s="5" t="s">
        <v>138</v>
      </c>
      <c r="AW5" s="5" t="s">
        <v>62</v>
      </c>
      <c r="AX5" s="5" t="s">
        <v>139</v>
      </c>
      <c r="AY5" s="5" t="s">
        <v>102</v>
      </c>
      <c r="AZ5" s="5" t="s">
        <v>113</v>
      </c>
      <c r="BA5" s="5" t="s">
        <v>140</v>
      </c>
      <c r="BB5" s="5" t="s">
        <v>149</v>
      </c>
      <c r="BC5" s="5" t="s">
        <v>142</v>
      </c>
      <c r="BD5" s="5" t="s">
        <v>143</v>
      </c>
      <c r="BE5" s="5">
        <v>2.33</v>
      </c>
      <c r="BF5" s="5">
        <v>0</v>
      </c>
      <c r="BG5" s="6">
        <v>0.47</v>
      </c>
      <c r="BH5" s="5" t="s">
        <v>129</v>
      </c>
      <c r="BI5" s="5" t="s">
        <v>117</v>
      </c>
      <c r="BJ5" s="5" t="s">
        <v>144</v>
      </c>
      <c r="BK5" s="5"/>
      <c r="BL5" s="5" t="s">
        <v>62</v>
      </c>
      <c r="BN5" s="2" t="str">
        <f t="shared" si="0"/>
        <v>anti_tank_brigade = {</v>
      </c>
      <c r="BO5" s="2" t="str">
        <f t="shared" si="62"/>
        <v/>
      </c>
      <c r="BP5" s="2" t="str">
        <f t="shared" si="1"/>
        <v/>
      </c>
      <c r="BQ5" s="2" t="str">
        <f t="shared" si="2"/>
        <v/>
      </c>
      <c r="BR5" s="2" t="str">
        <f t="shared" si="3"/>
        <v/>
      </c>
      <c r="BS5" s="2" t="str">
        <f t="shared" si="4"/>
        <v xml:space="preserve">
forest = {
attack = -0.20
movement = -0.20
}</v>
      </c>
      <c r="BT5" s="2" t="str">
        <f t="shared" si="5"/>
        <v/>
      </c>
      <c r="BU5" s="2" t="str">
        <f t="shared" si="6"/>
        <v xml:space="preserve">
hills = {
attack = -0.10
movement = -0.10
}</v>
      </c>
      <c r="BV5" s="2" t="str">
        <f t="shared" si="7"/>
        <v xml:space="preserve">
jungle = {
attack = -0.30
movement = -0.30
}</v>
      </c>
      <c r="BW5" s="2" t="str">
        <f t="shared" si="8"/>
        <v xml:space="preserve">
marsh = {
attack = -0.20
movement = -0.70
}</v>
      </c>
      <c r="BX5" s="2" t="str">
        <f t="shared" si="9"/>
        <v xml:space="preserve">
mountain = {
attack = -0.20
movement = -0.70
}</v>
      </c>
      <c r="BY5" s="2" t="str">
        <f t="shared" si="10"/>
        <v/>
      </c>
      <c r="BZ5" s="2" t="str">
        <f t="shared" si="11"/>
        <v/>
      </c>
      <c r="CA5" s="2" t="str">
        <f t="shared" si="12"/>
        <v/>
      </c>
      <c r="CB5" s="2" t="str">
        <f t="shared" si="13"/>
        <v xml:space="preserve">
urban = {
attack = -0.20
}</v>
      </c>
      <c r="CC5" s="2" t="str">
        <f t="shared" si="14"/>
        <v xml:space="preserve">
woods = {
attack = -0.10
movement = -0.10
}</v>
      </c>
      <c r="CD5" s="2" t="str">
        <f t="shared" si="15"/>
        <v>active = no</v>
      </c>
      <c r="CE5" s="2" t="str">
        <f t="shared" si="16"/>
        <v>air_attack = 0.10</v>
      </c>
      <c r="CF5" s="2" t="str">
        <f t="shared" si="17"/>
        <v>air_defence = 1.50</v>
      </c>
      <c r="CG5" s="2" t="str">
        <f t="shared" si="18"/>
        <v>amphibious = { attack = -0.40 }</v>
      </c>
      <c r="CH5" s="2" t="str">
        <f t="shared" si="19"/>
        <v>ap_attack = 5</v>
      </c>
      <c r="CI5" s="2" t="str">
        <f t="shared" si="20"/>
        <v/>
      </c>
      <c r="CJ5" s="2" t="str">
        <f t="shared" si="21"/>
        <v/>
      </c>
      <c r="CK5" s="2" t="str">
        <f t="shared" si="22"/>
        <v>build_cost_ic = 3.00</v>
      </c>
      <c r="CL5" s="2" t="str">
        <f t="shared" si="23"/>
        <v>build_cost_manpower = 1.33</v>
      </c>
      <c r="CM5" s="2" t="str">
        <f t="shared" si="24"/>
        <v>build_time = 100</v>
      </c>
      <c r="CN5" s="2" t="str">
        <f t="shared" si="25"/>
        <v/>
      </c>
      <c r="CO5" s="2" t="str">
        <f t="shared" si="26"/>
        <v>combat_width = 0</v>
      </c>
      <c r="CP5" s="2" t="str">
        <f t="shared" si="27"/>
        <v>completion_size = 0.3</v>
      </c>
      <c r="CQ5" s="2" t="str">
        <f t="shared" si="28"/>
        <v>default_morale = 0.25</v>
      </c>
      <c r="CR5" s="2" t="str">
        <f t="shared" si="29"/>
        <v>default_organisation = 20</v>
      </c>
      <c r="CS5" s="2" t="str">
        <f t="shared" si="30"/>
        <v>defensiveness = 2.00</v>
      </c>
      <c r="CT5" s="2" t="str">
        <f t="shared" si="31"/>
        <v/>
      </c>
      <c r="CU5" s="2" t="str">
        <f t="shared" si="32"/>
        <v/>
      </c>
      <c r="CV5" s="2" t="str">
        <f t="shared" si="33"/>
        <v>fuel_consumption = 0.00</v>
      </c>
      <c r="CW5" s="2" t="str">
        <f t="shared" si="34"/>
        <v>hard_attack = 2.50</v>
      </c>
      <c r="CX5" s="2" t="str">
        <f t="shared" si="35"/>
        <v/>
      </c>
      <c r="CY5" s="2" t="str">
        <f t="shared" si="36"/>
        <v/>
      </c>
      <c r="CZ5" s="2" t="str">
        <f t="shared" si="37"/>
        <v/>
      </c>
      <c r="DA5" s="2" t="str">
        <f t="shared" si="38"/>
        <v/>
      </c>
      <c r="DB5" s="2" t="str">
        <f t="shared" si="39"/>
        <v/>
      </c>
      <c r="DC5" s="2" t="str">
        <f t="shared" si="40"/>
        <v/>
      </c>
      <c r="DD5" s="2" t="str">
        <f t="shared" si="41"/>
        <v>max_strength = 10</v>
      </c>
      <c r="DE5" s="2" t="str">
        <f t="shared" si="42"/>
        <v>maximum_speed = 4.00</v>
      </c>
      <c r="DF5" s="2" t="str">
        <f t="shared" si="43"/>
        <v/>
      </c>
      <c r="DG5" s="2" t="str">
        <f t="shared" si="44"/>
        <v>officers = 100</v>
      </c>
      <c r="DH5" s="2" t="str">
        <f t="shared" si="45"/>
        <v>on_completion = artillery_practical</v>
      </c>
      <c r="DI5" s="2" t="str">
        <f t="shared" si="46"/>
        <v/>
      </c>
      <c r="DJ5" s="2" t="str">
        <f t="shared" si="47"/>
        <v>priority = 3</v>
      </c>
      <c r="DK5" s="2" t="str">
        <f t="shared" si="48"/>
        <v>radio_strength = 1</v>
      </c>
      <c r="DL5" s="2" t="str">
        <f t="shared" si="49"/>
        <v>repair_cost_multiplier = 0.05</v>
      </c>
      <c r="DM5" s="2" t="str">
        <f t="shared" si="50"/>
        <v>river = { attack = -0.05 }</v>
      </c>
      <c r="DN5" s="2" t="str">
        <f t="shared" si="51"/>
        <v>soft_attack = 1.20</v>
      </c>
      <c r="DO5" s="2" t="str">
        <f t="shared" si="52"/>
        <v>softness = 0.80</v>
      </c>
      <c r="DP5" s="2" t="str">
        <f t="shared" si="53"/>
        <v>sprite = Infantry</v>
      </c>
      <c r="DQ5" s="2" t="str">
        <f t="shared" si="54"/>
        <v>supply_consumption = 2.33</v>
      </c>
      <c r="DR5" s="2" t="str">
        <f t="shared" si="55"/>
        <v>suppression = 0</v>
      </c>
      <c r="DS5" s="2" t="str">
        <f t="shared" si="56"/>
        <v>toughness = 0.47</v>
      </c>
      <c r="DT5" s="2" t="str">
        <f t="shared" si="57"/>
        <v>transport_weight = 5.00</v>
      </c>
      <c r="DU5" s="2" t="str">
        <f t="shared" si="58"/>
        <v>type = land</v>
      </c>
      <c r="DV5" s="2" t="str">
        <f t="shared" si="59"/>
        <v>unit_group = direct_fire_unit_type</v>
      </c>
      <c r="DW5" s="2" t="str">
        <f t="shared" si="60"/>
        <v/>
      </c>
      <c r="DX5" s="2" t="str">
        <f t="shared" si="61"/>
        <v/>
      </c>
      <c r="DY5" s="2" t="s">
        <v>0</v>
      </c>
      <c r="DZ5" s="2" t="str">
        <f t="shared" si="63"/>
        <v xml:space="preserve">anti_tank_brigade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-0.40 }
ap_attack = 5
build_cost_ic = 3.00
build_cost_manpower = 1.33
build_time = 100
combat_width = 0
completion_size = 0.3
default_morale = 0.25
default_organisation = 20
defensiveness = 2.00
fuel_consumption = 0.00
hard_attack = 2.50
max_strength = 10
maximum_speed = 4.00
officers = 100
on_completion = artillery_practical
priority = 3
radio_strength = 1
repair_cost_multiplier = 0.05
river = { attack = -0.05 }
soft_attack = 1.20
softness = 0.80
sprite = Infantry
supply_consumption = 2.33
suppression = 0
toughness = 0.47
transport_weight = 5.00
type = land
unit_group = direct_fire_unit_type
}
</v>
      </c>
    </row>
    <row r="6" spans="1:130" x14ac:dyDescent="0.25">
      <c r="A6" s="2" t="str">
        <f t="shared" ca="1" si="64"/>
        <v>C:\Program Files (x86)\Paradox Interactive\Hearts of Iron III\tfh\mod\ww1tfh\units\armor_brigade.txt</v>
      </c>
      <c r="B6" s="2" t="s">
        <v>5</v>
      </c>
      <c r="C6" s="5" t="s">
        <v>62</v>
      </c>
      <c r="D6" s="5" t="s">
        <v>62</v>
      </c>
      <c r="E6" s="5" t="s">
        <v>62</v>
      </c>
      <c r="F6" s="5" t="s">
        <v>62</v>
      </c>
      <c r="G6" s="5" t="s">
        <v>150</v>
      </c>
      <c r="H6" s="5" t="s">
        <v>62</v>
      </c>
      <c r="I6" s="5" t="s">
        <v>151</v>
      </c>
      <c r="J6" s="5" t="s">
        <v>152</v>
      </c>
      <c r="K6" s="5" t="s">
        <v>153</v>
      </c>
      <c r="L6" s="5" t="s">
        <v>154</v>
      </c>
      <c r="M6" s="5" t="s">
        <v>62</v>
      </c>
      <c r="N6" s="5" t="s">
        <v>62</v>
      </c>
      <c r="O6" s="5" t="s">
        <v>62</v>
      </c>
      <c r="P6" s="5" t="s">
        <v>155</v>
      </c>
      <c r="Q6" s="5" t="s">
        <v>151</v>
      </c>
      <c r="R6" s="5" t="s">
        <v>90</v>
      </c>
      <c r="S6" s="5" t="s">
        <v>107</v>
      </c>
      <c r="T6" s="5" t="s">
        <v>142</v>
      </c>
      <c r="U6" s="5" t="s">
        <v>156</v>
      </c>
      <c r="V6" s="5" t="s">
        <v>146</v>
      </c>
      <c r="W6" s="5" t="s">
        <v>62</v>
      </c>
      <c r="X6" s="5" t="s">
        <v>146</v>
      </c>
      <c r="Y6" s="5">
        <v>12</v>
      </c>
      <c r="Z6" s="5">
        <v>0.78</v>
      </c>
      <c r="AA6" s="5" t="s">
        <v>157</v>
      </c>
      <c r="AB6" s="5"/>
      <c r="AC6" s="5">
        <v>0</v>
      </c>
      <c r="AD6" s="5">
        <v>1</v>
      </c>
      <c r="AE6" s="5">
        <v>0.25</v>
      </c>
      <c r="AF6" s="5">
        <v>20</v>
      </c>
      <c r="AG6" s="5" t="s">
        <v>158</v>
      </c>
      <c r="AH6" s="5" t="s">
        <v>62</v>
      </c>
      <c r="AI6" s="5" t="s">
        <v>62</v>
      </c>
      <c r="AJ6" s="5">
        <v>2</v>
      </c>
      <c r="AK6" s="5" t="s">
        <v>131</v>
      </c>
      <c r="AL6" s="5" t="s">
        <v>62</v>
      </c>
      <c r="AM6" s="5" t="s">
        <v>159</v>
      </c>
      <c r="AN6" s="5" t="s">
        <v>62</v>
      </c>
      <c r="AO6" s="5" t="s">
        <v>159</v>
      </c>
      <c r="AP6" s="5" t="s">
        <v>62</v>
      </c>
      <c r="AQ6" s="5" t="s">
        <v>62</v>
      </c>
      <c r="AR6" s="5">
        <v>10</v>
      </c>
      <c r="AS6" s="5">
        <v>4</v>
      </c>
      <c r="AT6" s="5" t="s">
        <v>62</v>
      </c>
      <c r="AU6" s="5" t="s">
        <v>137</v>
      </c>
      <c r="AV6" s="5" t="s">
        <v>160</v>
      </c>
      <c r="AW6" s="5" t="s">
        <v>62</v>
      </c>
      <c r="AX6" s="5" t="s">
        <v>136</v>
      </c>
      <c r="AY6" s="5" t="s">
        <v>102</v>
      </c>
      <c r="AZ6" s="5" t="s">
        <v>113</v>
      </c>
      <c r="BA6" s="5" t="s">
        <v>140</v>
      </c>
      <c r="BB6" s="5" t="s">
        <v>131</v>
      </c>
      <c r="BC6" s="5" t="s">
        <v>161</v>
      </c>
      <c r="BD6" s="5" t="s">
        <v>162</v>
      </c>
      <c r="BE6" s="5">
        <v>3.87</v>
      </c>
      <c r="BF6" s="5">
        <v>0</v>
      </c>
      <c r="BG6" s="6">
        <v>2.8</v>
      </c>
      <c r="BH6" s="5" t="s">
        <v>163</v>
      </c>
      <c r="BI6" s="5" t="s">
        <v>117</v>
      </c>
      <c r="BJ6" s="5" t="s">
        <v>164</v>
      </c>
      <c r="BK6" s="5"/>
      <c r="BL6" s="5" t="s">
        <v>62</v>
      </c>
      <c r="BN6" s="2" t="str">
        <f t="shared" si="0"/>
        <v>armor_brigade = {</v>
      </c>
      <c r="BO6" s="2" t="str">
        <f t="shared" si="62"/>
        <v/>
      </c>
      <c r="BP6" s="2" t="str">
        <f t="shared" si="1"/>
        <v/>
      </c>
      <c r="BQ6" s="2" t="str">
        <f t="shared" si="2"/>
        <v/>
      </c>
      <c r="BR6" s="2" t="str">
        <f t="shared" si="3"/>
        <v/>
      </c>
      <c r="BS6" s="2" t="str">
        <f t="shared" si="4"/>
        <v xml:space="preserve">
forest = {
attack = -0.30
movement = -0.40
defence = -0.40
}</v>
      </c>
      <c r="BT6" s="2" t="str">
        <f t="shared" si="5"/>
        <v/>
      </c>
      <c r="BU6" s="2" t="str">
        <f t="shared" si="6"/>
        <v xml:space="preserve">
hills = {
attack = -0.10
movement = -0.10
defence = -0.30
}</v>
      </c>
      <c r="BV6" s="2" t="str">
        <f t="shared" si="7"/>
        <v xml:space="preserve">
jungle = {
attack = -0.40
movement = -0.40
defence = -0.60
}</v>
      </c>
      <c r="BW6" s="2" t="str">
        <f t="shared" si="8"/>
        <v xml:space="preserve">
marsh = {
attack = -0.40
movement = -0.80
defence = -0.60
}</v>
      </c>
      <c r="BX6" s="2" t="str">
        <f t="shared" si="9"/>
        <v xml:space="preserve">
mountain = {
attack = -0.30
movement = -0.40
defence = -0.70
}</v>
      </c>
      <c r="BY6" s="2" t="str">
        <f t="shared" si="10"/>
        <v/>
      </c>
      <c r="BZ6" s="2" t="str">
        <f t="shared" si="11"/>
        <v/>
      </c>
      <c r="CA6" s="2" t="str">
        <f t="shared" si="12"/>
        <v/>
      </c>
      <c r="CB6" s="2" t="str">
        <f t="shared" si="13"/>
        <v xml:space="preserve">
urban = {
attack = -0.40
defence = -0.70
}</v>
      </c>
      <c r="CC6" s="2" t="str">
        <f t="shared" si="14"/>
        <v xml:space="preserve">
woods = {
attack = -0.10
movement = -0.10
defence = -0.30
}</v>
      </c>
      <c r="CD6" s="2" t="str">
        <f t="shared" si="15"/>
        <v>active = no</v>
      </c>
      <c r="CE6" s="2" t="str">
        <f t="shared" si="16"/>
        <v>air_attack = 0.33</v>
      </c>
      <c r="CF6" s="2" t="str">
        <f t="shared" si="17"/>
        <v>air_defence = 0.80</v>
      </c>
      <c r="CG6" s="2" t="str">
        <f t="shared" si="18"/>
        <v>amphibious = { attack = -0.60 }</v>
      </c>
      <c r="CH6" s="2" t="str">
        <f t="shared" si="19"/>
        <v>ap_attack = 5</v>
      </c>
      <c r="CI6" s="2" t="str">
        <f t="shared" si="20"/>
        <v/>
      </c>
      <c r="CJ6" s="2" t="str">
        <f t="shared" si="21"/>
        <v>armor_value = 5</v>
      </c>
      <c r="CK6" s="2" t="str">
        <f t="shared" si="22"/>
        <v>build_cost_ic = 12</v>
      </c>
      <c r="CL6" s="2" t="str">
        <f t="shared" si="23"/>
        <v>build_cost_manpower = 0.78</v>
      </c>
      <c r="CM6" s="2" t="str">
        <f t="shared" si="24"/>
        <v>build_time = 190</v>
      </c>
      <c r="CN6" s="2" t="str">
        <f t="shared" si="25"/>
        <v/>
      </c>
      <c r="CO6" s="2" t="str">
        <f t="shared" si="26"/>
        <v>combat_width = 0</v>
      </c>
      <c r="CP6" s="2" t="str">
        <f t="shared" si="27"/>
        <v>completion_size = 1</v>
      </c>
      <c r="CQ6" s="2" t="str">
        <f t="shared" si="28"/>
        <v>default_morale = 0.25</v>
      </c>
      <c r="CR6" s="2" t="str">
        <f t="shared" si="29"/>
        <v>default_organisation = 20</v>
      </c>
      <c r="CS6" s="2" t="str">
        <f t="shared" si="30"/>
        <v>defensiveness = 3.50</v>
      </c>
      <c r="CT6" s="2" t="str">
        <f t="shared" si="31"/>
        <v/>
      </c>
      <c r="CU6" s="2" t="str">
        <f t="shared" si="32"/>
        <v/>
      </c>
      <c r="CV6" s="2" t="str">
        <f t="shared" si="33"/>
        <v>fuel_consumption = 2</v>
      </c>
      <c r="CW6" s="2" t="str">
        <f t="shared" si="34"/>
        <v>hard_attack = 2.33</v>
      </c>
      <c r="CX6" s="2" t="str">
        <f t="shared" si="35"/>
        <v/>
      </c>
      <c r="CY6" s="2" t="str">
        <f t="shared" si="36"/>
        <v>is_armor = yes</v>
      </c>
      <c r="CZ6" s="2" t="str">
        <f t="shared" si="37"/>
        <v/>
      </c>
      <c r="DA6" s="2" t="str">
        <f t="shared" si="38"/>
        <v>is_mobile = yes</v>
      </c>
      <c r="DB6" s="2" t="str">
        <f t="shared" si="39"/>
        <v/>
      </c>
      <c r="DC6" s="2" t="str">
        <f t="shared" si="40"/>
        <v/>
      </c>
      <c r="DD6" s="2" t="str">
        <f t="shared" si="41"/>
        <v>max_strength = 10</v>
      </c>
      <c r="DE6" s="2" t="str">
        <f t="shared" si="42"/>
        <v>maximum_speed = 4</v>
      </c>
      <c r="DF6" s="2" t="str">
        <f t="shared" si="43"/>
        <v/>
      </c>
      <c r="DG6" s="2" t="str">
        <f t="shared" si="44"/>
        <v>officers = 100</v>
      </c>
      <c r="DH6" s="2" t="str">
        <f t="shared" si="45"/>
        <v>on_completion = armour_practical</v>
      </c>
      <c r="DI6" s="2" t="str">
        <f t="shared" si="46"/>
        <v/>
      </c>
      <c r="DJ6" s="2" t="str">
        <f t="shared" si="47"/>
        <v>priority = 10</v>
      </c>
      <c r="DK6" s="2" t="str">
        <f t="shared" si="48"/>
        <v>radio_strength = 1</v>
      </c>
      <c r="DL6" s="2" t="str">
        <f t="shared" si="49"/>
        <v>repair_cost_multiplier = 0.05</v>
      </c>
      <c r="DM6" s="2" t="str">
        <f t="shared" si="50"/>
        <v>river = { attack = -0.05 }</v>
      </c>
      <c r="DN6" s="2" t="str">
        <f t="shared" si="51"/>
        <v>soft_attack = 2.33</v>
      </c>
      <c r="DO6" s="2" t="str">
        <f t="shared" si="52"/>
        <v>softness = 0.15</v>
      </c>
      <c r="DP6" s="2" t="str">
        <f t="shared" si="53"/>
        <v>sprite = Tank</v>
      </c>
      <c r="DQ6" s="2" t="str">
        <f t="shared" si="54"/>
        <v>supply_consumption = 3.87</v>
      </c>
      <c r="DR6" s="2" t="str">
        <f t="shared" si="55"/>
        <v>suppression = 0</v>
      </c>
      <c r="DS6" s="2" t="str">
        <f t="shared" si="56"/>
        <v>toughness = 2.8</v>
      </c>
      <c r="DT6" s="2" t="str">
        <f t="shared" si="57"/>
        <v>transport_weight = 20.00</v>
      </c>
      <c r="DU6" s="2" t="str">
        <f t="shared" si="58"/>
        <v>type = land</v>
      </c>
      <c r="DV6" s="2" t="str">
        <f t="shared" si="59"/>
        <v>unit_group = armor_unit_type</v>
      </c>
      <c r="DW6" s="2" t="str">
        <f t="shared" si="60"/>
        <v/>
      </c>
      <c r="DX6" s="2" t="str">
        <f t="shared" si="61"/>
        <v/>
      </c>
      <c r="DY6" s="2" t="s">
        <v>0</v>
      </c>
      <c r="DZ6" s="2" t="str">
        <f t="shared" si="63"/>
        <v xml:space="preserve">armor_brigade = {
forest = {
attack = -0.30
movement = -0.40
defence = -0.40
}
hills = {
attack = -0.10
movement = -0.10
defence = -0.30
}
jungle = {
attack = -0.40
movement = -0.40
defence = -0.60
}
marsh = {
attack = -0.40
movement = -0.80
defence = -0.60
}
mountain = {
attack = -0.30
movement = -0.40
defence = -0.70
}
urban = {
attack = -0.40
defence = -0.70
}
woods = {
attack = -0.10
movement = -0.10
defence = -0.30
}
active = no
air_attack = 0.33
air_defence = 0.80
amphibious = { attack = -0.60 }
ap_attack = 5
armor_value = 5
build_cost_ic = 12
build_cost_manpower = 0.78
build_time = 190
combat_width = 0
completion_size = 1
default_morale = 0.25
default_organisation = 20
defensiveness = 3.50
fuel_consumption = 2
hard_attack = 2.33
is_armor = yes
is_mobile = yes
max_strength = 10
maximum_speed = 4
officers = 100
on_completion = armour_practical
priority = 10
radio_strength = 1
repair_cost_multiplier = 0.05
river = { attack = -0.05 }
soft_attack = 2.33
softness = 0.15
sprite = Tank
supply_consumption = 3.87
suppression = 0
toughness = 2.8
transport_weight = 20.00
type = land
unit_group = armor_unit_type
}
</v>
      </c>
    </row>
    <row r="7" spans="1:130" x14ac:dyDescent="0.25">
      <c r="A7" s="2" t="str">
        <f t="shared" ca="1" si="64"/>
        <v>C:\Program Files (x86)\Paradox Interactive\Hearts of Iron III\tfh\mod\ww1tfh\units\armored_car_brigade.txt</v>
      </c>
      <c r="B7" s="2" t="s">
        <v>6</v>
      </c>
      <c r="C7" s="5" t="s">
        <v>62</v>
      </c>
      <c r="D7" s="5" t="s">
        <v>165</v>
      </c>
      <c r="E7" s="5" t="s">
        <v>62</v>
      </c>
      <c r="F7" s="5" t="s">
        <v>166</v>
      </c>
      <c r="G7" s="5" t="s">
        <v>167</v>
      </c>
      <c r="H7" s="5" t="s">
        <v>62</v>
      </c>
      <c r="I7" s="5" t="s">
        <v>168</v>
      </c>
      <c r="J7" s="5" t="s">
        <v>169</v>
      </c>
      <c r="K7" s="5" t="s">
        <v>170</v>
      </c>
      <c r="L7" s="5" t="s">
        <v>171</v>
      </c>
      <c r="M7" s="5" t="s">
        <v>62</v>
      </c>
      <c r="N7" s="5" t="s">
        <v>166</v>
      </c>
      <c r="O7" s="5" t="s">
        <v>62</v>
      </c>
      <c r="P7" s="5" t="s">
        <v>172</v>
      </c>
      <c r="Q7" s="5" t="s">
        <v>173</v>
      </c>
      <c r="R7" s="5" t="s">
        <v>90</v>
      </c>
      <c r="S7" s="5" t="s">
        <v>100</v>
      </c>
      <c r="T7" s="5" t="s">
        <v>115</v>
      </c>
      <c r="U7" s="5" t="s">
        <v>130</v>
      </c>
      <c r="V7" s="5"/>
      <c r="W7" s="5" t="s">
        <v>62</v>
      </c>
      <c r="X7" s="5">
        <v>1</v>
      </c>
      <c r="Y7" s="5">
        <v>5</v>
      </c>
      <c r="Z7" s="5" t="s">
        <v>114</v>
      </c>
      <c r="AA7" s="5" t="s">
        <v>174</v>
      </c>
      <c r="AB7" s="5"/>
      <c r="AC7" s="5" t="s">
        <v>133</v>
      </c>
      <c r="AD7" s="5" t="s">
        <v>175</v>
      </c>
      <c r="AE7" s="5">
        <v>0.25</v>
      </c>
      <c r="AF7" s="5">
        <v>20</v>
      </c>
      <c r="AG7" s="5" t="s">
        <v>135</v>
      </c>
      <c r="AH7" s="5" t="s">
        <v>62</v>
      </c>
      <c r="AI7" s="5" t="s">
        <v>62</v>
      </c>
      <c r="AJ7" s="5" t="s">
        <v>176</v>
      </c>
      <c r="AK7" s="5" t="s">
        <v>107</v>
      </c>
      <c r="AL7" s="5" t="s">
        <v>62</v>
      </c>
      <c r="AM7" s="5" t="s">
        <v>62</v>
      </c>
      <c r="AN7" s="5" t="s">
        <v>62</v>
      </c>
      <c r="AO7" s="5" t="s">
        <v>159</v>
      </c>
      <c r="AP7" s="5" t="s">
        <v>62</v>
      </c>
      <c r="AQ7" s="5" t="s">
        <v>62</v>
      </c>
      <c r="AR7" s="5" t="s">
        <v>136</v>
      </c>
      <c r="AS7" s="5" t="s">
        <v>177</v>
      </c>
      <c r="AT7" s="5" t="s">
        <v>62</v>
      </c>
      <c r="AU7" s="5" t="s">
        <v>137</v>
      </c>
      <c r="AV7" s="5" t="s">
        <v>178</v>
      </c>
      <c r="AW7" s="5" t="s">
        <v>62</v>
      </c>
      <c r="AX7" s="5" t="s">
        <v>179</v>
      </c>
      <c r="AY7" s="5" t="s">
        <v>102</v>
      </c>
      <c r="AZ7" s="5" t="s">
        <v>113</v>
      </c>
      <c r="BA7" s="5" t="s">
        <v>140</v>
      </c>
      <c r="BB7" s="5" t="s">
        <v>135</v>
      </c>
      <c r="BC7" s="5" t="s">
        <v>180</v>
      </c>
      <c r="BD7" s="5" t="s">
        <v>143</v>
      </c>
      <c r="BE7" s="5">
        <v>1.17</v>
      </c>
      <c r="BF7" s="5" t="s">
        <v>102</v>
      </c>
      <c r="BG7" s="6">
        <v>1.87</v>
      </c>
      <c r="BH7" s="5" t="s">
        <v>129</v>
      </c>
      <c r="BI7" s="5" t="s">
        <v>117</v>
      </c>
      <c r="BJ7" s="5" t="s">
        <v>164</v>
      </c>
      <c r="BK7" s="5"/>
      <c r="BL7" s="5" t="s">
        <v>62</v>
      </c>
      <c r="BN7" s="2" t="str">
        <f t="shared" si="0"/>
        <v>armored_car_brigade = {</v>
      </c>
      <c r="BO7" s="2" t="str">
        <f t="shared" si="62"/>
        <v/>
      </c>
      <c r="BP7" s="2" t="str">
        <f t="shared" si="1"/>
        <v xml:space="preserve">
arctic = {
movement = 0.20
}</v>
      </c>
      <c r="BQ7" s="2" t="str">
        <f t="shared" si="2"/>
        <v/>
      </c>
      <c r="BR7" s="2" t="str">
        <f t="shared" si="3"/>
        <v xml:space="preserve">
desert = {
movement = 0.40
}</v>
      </c>
      <c r="BS7" s="2" t="str">
        <f t="shared" si="4"/>
        <v xml:space="preserve">
forest = {
attack = -0.20
defence = -0.15
movement = 0.10
}</v>
      </c>
      <c r="BT7" s="2" t="str">
        <f t="shared" si="5"/>
        <v/>
      </c>
      <c r="BU7" s="2" t="str">
        <f t="shared" si="6"/>
        <v xml:space="preserve">
hills = {
defence = -0.1
movement = 0.20
}</v>
      </c>
      <c r="BV7" s="2" t="str">
        <f t="shared" si="7"/>
        <v xml:space="preserve">
jungle = {
attack = -0.30
defence = -0.25
movement = 0.05
}</v>
      </c>
      <c r="BW7" s="2" t="str">
        <f t="shared" si="8"/>
        <v xml:space="preserve">
marsh = {
attack = -0.10
defence = -0.25
movement = -0.10
}</v>
      </c>
      <c r="BX7" s="2" t="str">
        <f t="shared" si="9"/>
        <v xml:space="preserve">
mountain = {
attack = -0.05
movement = 0.10
defence = -0.30
}</v>
      </c>
      <c r="BY7" s="2" t="str">
        <f t="shared" si="10"/>
        <v/>
      </c>
      <c r="BZ7" s="2" t="str">
        <f t="shared" si="11"/>
        <v xml:space="preserve">
plains = {
movement = 0.40
}</v>
      </c>
      <c r="CA7" s="2" t="str">
        <f t="shared" si="12"/>
        <v/>
      </c>
      <c r="CB7" s="2" t="str">
        <f t="shared" si="13"/>
        <v xml:space="preserve">
urban = {
attack = -0.20
defence = -0.30
movement = 0.40
}</v>
      </c>
      <c r="CC7" s="2" t="str">
        <f t="shared" si="14"/>
        <v xml:space="preserve">
woods = {
attack = -0.05
movement = 0.15
defence = -0.10
}</v>
      </c>
      <c r="CD7" s="2" t="str">
        <f t="shared" si="15"/>
        <v>active = no</v>
      </c>
      <c r="CE7" s="2" t="str">
        <f t="shared" si="16"/>
        <v>air_attack = 0.10</v>
      </c>
      <c r="CF7" s="2" t="str">
        <f t="shared" si="17"/>
        <v>air_defence = 1.00</v>
      </c>
      <c r="CG7" s="2" t="str">
        <f t="shared" si="18"/>
        <v>amphibious = { attack = -0.40 }</v>
      </c>
      <c r="CH7" s="2" t="str">
        <f t="shared" si="19"/>
        <v/>
      </c>
      <c r="CI7" s="2" t="str">
        <f t="shared" si="20"/>
        <v/>
      </c>
      <c r="CJ7" s="2" t="str">
        <f t="shared" si="21"/>
        <v>armor_value = 1</v>
      </c>
      <c r="CK7" s="2" t="str">
        <f t="shared" si="22"/>
        <v>build_cost_ic = 5</v>
      </c>
      <c r="CL7" s="2" t="str">
        <f t="shared" si="23"/>
        <v>build_cost_manpower = 1.67</v>
      </c>
      <c r="CM7" s="2" t="str">
        <f t="shared" si="24"/>
        <v>build_time = 110</v>
      </c>
      <c r="CN7" s="2" t="str">
        <f t="shared" si="25"/>
        <v/>
      </c>
      <c r="CO7" s="2" t="str">
        <f t="shared" si="26"/>
        <v>combat_width = 0</v>
      </c>
      <c r="CP7" s="2" t="str">
        <f t="shared" si="27"/>
        <v>completion_size = 0.4</v>
      </c>
      <c r="CQ7" s="2" t="str">
        <f t="shared" si="28"/>
        <v>default_morale = 0.25</v>
      </c>
      <c r="CR7" s="2" t="str">
        <f t="shared" si="29"/>
        <v>default_organisation = 20</v>
      </c>
      <c r="CS7" s="2" t="str">
        <f t="shared" si="30"/>
        <v>defensiveness = 2.00</v>
      </c>
      <c r="CT7" s="2" t="str">
        <f t="shared" si="31"/>
        <v/>
      </c>
      <c r="CU7" s="2" t="str">
        <f t="shared" si="32"/>
        <v/>
      </c>
      <c r="CV7" s="2" t="str">
        <f t="shared" si="33"/>
        <v>fuel_consumption = 0.38</v>
      </c>
      <c r="CW7" s="2" t="str">
        <f t="shared" si="34"/>
        <v>hard_attack = 0.33</v>
      </c>
      <c r="CX7" s="2" t="str">
        <f t="shared" si="35"/>
        <v/>
      </c>
      <c r="CY7" s="2" t="str">
        <f t="shared" si="36"/>
        <v/>
      </c>
      <c r="CZ7" s="2" t="str">
        <f t="shared" si="37"/>
        <v/>
      </c>
      <c r="DA7" s="2" t="str">
        <f t="shared" si="38"/>
        <v>is_mobile = yes</v>
      </c>
      <c r="DB7" s="2" t="str">
        <f t="shared" si="39"/>
        <v/>
      </c>
      <c r="DC7" s="2" t="str">
        <f t="shared" si="40"/>
        <v/>
      </c>
      <c r="DD7" s="2" t="str">
        <f t="shared" si="41"/>
        <v>max_strength = 10</v>
      </c>
      <c r="DE7" s="2" t="str">
        <f t="shared" si="42"/>
        <v>maximum_speed = 9.00</v>
      </c>
      <c r="DF7" s="2" t="str">
        <f t="shared" si="43"/>
        <v/>
      </c>
      <c r="DG7" s="2" t="str">
        <f t="shared" si="44"/>
        <v>officers = 100</v>
      </c>
      <c r="DH7" s="2" t="str">
        <f t="shared" si="45"/>
        <v>on_completion = mobile_practical</v>
      </c>
      <c r="DI7" s="2" t="str">
        <f t="shared" si="46"/>
        <v/>
      </c>
      <c r="DJ7" s="2" t="str">
        <f t="shared" si="47"/>
        <v>priority = 4</v>
      </c>
      <c r="DK7" s="2" t="str">
        <f t="shared" si="48"/>
        <v>radio_strength = 1</v>
      </c>
      <c r="DL7" s="2" t="str">
        <f t="shared" si="49"/>
        <v>repair_cost_multiplier = 0.05</v>
      </c>
      <c r="DM7" s="2" t="str">
        <f t="shared" si="50"/>
        <v>river = { attack = -0.05 }</v>
      </c>
      <c r="DN7" s="2" t="str">
        <f t="shared" si="51"/>
        <v>soft_attack = 2.00</v>
      </c>
      <c r="DO7" s="2" t="str">
        <f t="shared" si="52"/>
        <v>softness = 0.45</v>
      </c>
      <c r="DP7" s="2" t="str">
        <f t="shared" si="53"/>
        <v>sprite = Infantry</v>
      </c>
      <c r="DQ7" s="2" t="str">
        <f t="shared" si="54"/>
        <v>supply_consumption = 1.17</v>
      </c>
      <c r="DR7" s="2" t="str">
        <f t="shared" si="55"/>
        <v>suppression = 1</v>
      </c>
      <c r="DS7" s="2" t="str">
        <f t="shared" si="56"/>
        <v>toughness = 1.87</v>
      </c>
      <c r="DT7" s="2" t="str">
        <f t="shared" si="57"/>
        <v>transport_weight = 5.00</v>
      </c>
      <c r="DU7" s="2" t="str">
        <f t="shared" si="58"/>
        <v>type = land</v>
      </c>
      <c r="DV7" s="2" t="str">
        <f t="shared" si="59"/>
        <v>unit_group = armor_unit_type</v>
      </c>
      <c r="DW7" s="2" t="str">
        <f t="shared" si="60"/>
        <v/>
      </c>
      <c r="DX7" s="2" t="str">
        <f t="shared" si="61"/>
        <v/>
      </c>
      <c r="DY7" s="2" t="s">
        <v>0</v>
      </c>
      <c r="DZ7" s="2" t="str">
        <f t="shared" si="63"/>
        <v xml:space="preserve">armored_car_brigade = {
arctic = {
movement = 0.20
}
desert = {
movement = 0.40
}
forest = {
attack = -0.20
defence = -0.15
movement = 0.10
}
hills = {
defence = -0.1
movement = 0.20
}
jungle = {
attack = -0.30
defence = -0.25
movement = 0.05
}
marsh = {
attack = -0.10
defence = -0.25
movement = -0.10
}
mountain = {
attack = -0.05
movement = 0.10
defence = -0.30
}
plains = {
movement = 0.40
}
urban = {
attack = -0.20
defence = -0.30
movement = 0.40
}
woods = {
attack = -0.05
movement = 0.15
defence = -0.10
}
active = no
air_attack = 0.10
air_defence = 1.00
amphibious = { attack = -0.40 }
armor_value = 1
build_cost_ic = 5
build_cost_manpower = 1.67
build_time = 110
combat_width = 0
completion_size = 0.4
default_morale = 0.25
default_organisation = 20
defensiveness = 2.00
fuel_consumption = 0.38
hard_attack = 0.33
is_mobile = yes
max_strength = 10
maximum_speed = 9.00
officers = 100
on_completion = mobile_practical
priority = 4
radio_strength = 1
repair_cost_multiplier = 0.05
river = { attack = -0.05 }
soft_attack = 2.00
softness = 0.45
sprite = Infantry
supply_consumption = 1.17
suppression = 1
toughness = 1.87
transport_weight = 5.00
type = land
unit_group = armor_unit_type
}
</v>
      </c>
    </row>
    <row r="8" spans="1:130" x14ac:dyDescent="0.25">
      <c r="A8" s="2" t="str">
        <f t="shared" ca="1" si="64"/>
        <v>C:\Program Files (x86)\Paradox Interactive\Hearts of Iron III\tfh\mod\ww1tfh\units\artillery_brigade.txt</v>
      </c>
      <c r="B8" s="2" t="s">
        <v>7</v>
      </c>
      <c r="C8" s="5" t="s">
        <v>62</v>
      </c>
      <c r="D8" s="5" t="s">
        <v>62</v>
      </c>
      <c r="E8" s="5" t="s">
        <v>62</v>
      </c>
      <c r="F8" s="5" t="s">
        <v>62</v>
      </c>
      <c r="G8" s="5" t="s">
        <v>124</v>
      </c>
      <c r="H8" s="5" t="s">
        <v>62</v>
      </c>
      <c r="I8" s="5" t="s">
        <v>125</v>
      </c>
      <c r="J8" s="5" t="s">
        <v>126</v>
      </c>
      <c r="K8" s="5" t="s">
        <v>127</v>
      </c>
      <c r="L8" s="5" t="s">
        <v>127</v>
      </c>
      <c r="M8" s="5" t="s">
        <v>62</v>
      </c>
      <c r="N8" s="5" t="s">
        <v>62</v>
      </c>
      <c r="O8" s="5" t="s">
        <v>62</v>
      </c>
      <c r="P8" s="5" t="s">
        <v>128</v>
      </c>
      <c r="Q8" s="5" t="s">
        <v>125</v>
      </c>
      <c r="R8" s="5" t="s">
        <v>90</v>
      </c>
      <c r="S8" s="5" t="s">
        <v>100</v>
      </c>
      <c r="T8" s="5" t="s">
        <v>145</v>
      </c>
      <c r="U8" s="5" t="s">
        <v>182</v>
      </c>
      <c r="V8" s="5" t="s">
        <v>62</v>
      </c>
      <c r="W8" s="5" t="s">
        <v>62</v>
      </c>
      <c r="X8" s="5" t="s">
        <v>62</v>
      </c>
      <c r="Y8" s="5">
        <v>5</v>
      </c>
      <c r="Z8" s="5">
        <v>2.66</v>
      </c>
      <c r="AA8" s="5" t="s">
        <v>137</v>
      </c>
      <c r="AB8" s="5"/>
      <c r="AC8" s="5" t="s">
        <v>133</v>
      </c>
      <c r="AD8" s="5" t="s">
        <v>175</v>
      </c>
      <c r="AE8" s="5">
        <v>0.25</v>
      </c>
      <c r="AF8" s="5">
        <v>20</v>
      </c>
      <c r="AG8" s="5" t="s">
        <v>114</v>
      </c>
      <c r="AH8" s="5" t="s">
        <v>62</v>
      </c>
      <c r="AI8" s="5" t="s">
        <v>183</v>
      </c>
      <c r="AJ8" s="5" t="s">
        <v>106</v>
      </c>
      <c r="AK8" s="5" t="s">
        <v>115</v>
      </c>
      <c r="AL8" s="5" t="s">
        <v>62</v>
      </c>
      <c r="AM8" s="5" t="s">
        <v>62</v>
      </c>
      <c r="AN8" s="5" t="s">
        <v>62</v>
      </c>
      <c r="AO8" s="5" t="s">
        <v>62</v>
      </c>
      <c r="AP8" s="5" t="s">
        <v>62</v>
      </c>
      <c r="AQ8" s="5" t="s">
        <v>62</v>
      </c>
      <c r="AR8" s="5">
        <v>20</v>
      </c>
      <c r="AS8" s="5" t="s">
        <v>105</v>
      </c>
      <c r="AT8" s="5" t="s">
        <v>62</v>
      </c>
      <c r="AU8" s="5">
        <v>200</v>
      </c>
      <c r="AV8" s="5" t="s">
        <v>138</v>
      </c>
      <c r="AW8" s="5" t="s">
        <v>62</v>
      </c>
      <c r="AX8" s="5" t="s">
        <v>139</v>
      </c>
      <c r="AY8" s="5" t="s">
        <v>102</v>
      </c>
      <c r="AZ8" s="5" t="s">
        <v>113</v>
      </c>
      <c r="BA8" s="5" t="s">
        <v>140</v>
      </c>
      <c r="BB8" s="5" t="s">
        <v>184</v>
      </c>
      <c r="BC8" s="5" t="s">
        <v>185</v>
      </c>
      <c r="BD8" s="5" t="s">
        <v>143</v>
      </c>
      <c r="BE8" s="5">
        <v>2</v>
      </c>
      <c r="BF8" s="5">
        <v>0</v>
      </c>
      <c r="BG8" s="6">
        <v>0.7</v>
      </c>
      <c r="BH8" s="5">
        <v>10</v>
      </c>
      <c r="BI8" s="5" t="s">
        <v>117</v>
      </c>
      <c r="BJ8" s="5" t="s">
        <v>186</v>
      </c>
      <c r="BK8" s="5"/>
      <c r="BL8" s="5" t="s">
        <v>62</v>
      </c>
      <c r="BN8" s="2" t="str">
        <f t="shared" si="0"/>
        <v>artillery_brigade = {</v>
      </c>
      <c r="BO8" s="2" t="str">
        <f t="shared" si="62"/>
        <v/>
      </c>
      <c r="BP8" s="2" t="str">
        <f t="shared" si="1"/>
        <v/>
      </c>
      <c r="BQ8" s="2" t="str">
        <f t="shared" si="2"/>
        <v/>
      </c>
      <c r="BR8" s="2" t="str">
        <f t="shared" si="3"/>
        <v/>
      </c>
      <c r="BS8" s="2" t="str">
        <f t="shared" si="4"/>
        <v xml:space="preserve">
forest = {
attack = -0.20
movement = -0.20
}</v>
      </c>
      <c r="BT8" s="2" t="str">
        <f t="shared" si="5"/>
        <v/>
      </c>
      <c r="BU8" s="2" t="str">
        <f t="shared" si="6"/>
        <v xml:space="preserve">
hills = {
attack = -0.10
movement = -0.10
}</v>
      </c>
      <c r="BV8" s="2" t="str">
        <f t="shared" si="7"/>
        <v xml:space="preserve">
jungle = {
attack = -0.30
movement = -0.30
}</v>
      </c>
      <c r="BW8" s="2" t="str">
        <f t="shared" si="8"/>
        <v xml:space="preserve">
marsh = {
attack = -0.20
movement = -0.70
}</v>
      </c>
      <c r="BX8" s="2" t="str">
        <f t="shared" si="9"/>
        <v xml:space="preserve">
mountain = {
attack = -0.20
movement = -0.70
}</v>
      </c>
      <c r="BY8" s="2" t="str">
        <f t="shared" si="10"/>
        <v/>
      </c>
      <c r="BZ8" s="2" t="str">
        <f t="shared" si="11"/>
        <v/>
      </c>
      <c r="CA8" s="2" t="str">
        <f t="shared" si="12"/>
        <v/>
      </c>
      <c r="CB8" s="2" t="str">
        <f t="shared" si="13"/>
        <v xml:space="preserve">
urban = {
attack = -0.20
}</v>
      </c>
      <c r="CC8" s="2" t="str">
        <f t="shared" si="14"/>
        <v xml:space="preserve">
woods = {
attack = -0.10
movement = -0.10
}</v>
      </c>
      <c r="CD8" s="2" t="str">
        <f t="shared" si="15"/>
        <v>active = no</v>
      </c>
      <c r="CE8" s="2" t="str">
        <f t="shared" si="16"/>
        <v>air_attack = 0.10</v>
      </c>
      <c r="CF8" s="2" t="str">
        <f t="shared" si="17"/>
        <v>air_defence = 1.50</v>
      </c>
      <c r="CG8" s="2" t="str">
        <f t="shared" si="18"/>
        <v>amphibious = { attack = -0.80 }</v>
      </c>
      <c r="CH8" s="2" t="str">
        <f t="shared" si="19"/>
        <v/>
      </c>
      <c r="CI8" s="2" t="str">
        <f t="shared" si="20"/>
        <v/>
      </c>
      <c r="CJ8" s="2" t="str">
        <f t="shared" si="21"/>
        <v/>
      </c>
      <c r="CK8" s="2" t="str">
        <f t="shared" si="22"/>
        <v>build_cost_ic = 5</v>
      </c>
      <c r="CL8" s="2" t="str">
        <f t="shared" si="23"/>
        <v>build_cost_manpower = 2.66</v>
      </c>
      <c r="CM8" s="2" t="str">
        <f t="shared" si="24"/>
        <v>build_time = 100</v>
      </c>
      <c r="CN8" s="2" t="str">
        <f t="shared" si="25"/>
        <v/>
      </c>
      <c r="CO8" s="2" t="str">
        <f t="shared" si="26"/>
        <v>combat_width = 0</v>
      </c>
      <c r="CP8" s="2" t="str">
        <f t="shared" si="27"/>
        <v>completion_size = 0.4</v>
      </c>
      <c r="CQ8" s="2" t="str">
        <f t="shared" si="28"/>
        <v>default_morale = 0.25</v>
      </c>
      <c r="CR8" s="2" t="str">
        <f t="shared" si="29"/>
        <v>default_organisation = 20</v>
      </c>
      <c r="CS8" s="2" t="str">
        <f t="shared" si="30"/>
        <v>defensiveness = 1.67</v>
      </c>
      <c r="CT8" s="2" t="str">
        <f t="shared" si="31"/>
        <v/>
      </c>
      <c r="CU8" s="2" t="str">
        <f t="shared" si="32"/>
        <v>fort = { attack = 0.10 }</v>
      </c>
      <c r="CV8" s="2" t="str">
        <f t="shared" si="33"/>
        <v>fuel_consumption = 0.00</v>
      </c>
      <c r="CW8" s="2" t="str">
        <f t="shared" si="34"/>
        <v>hard_attack = 1.00</v>
      </c>
      <c r="CX8" s="2" t="str">
        <f t="shared" si="35"/>
        <v/>
      </c>
      <c r="CY8" s="2" t="str">
        <f t="shared" si="36"/>
        <v/>
      </c>
      <c r="CZ8" s="2" t="str">
        <f t="shared" si="37"/>
        <v/>
      </c>
      <c r="DA8" s="2" t="str">
        <f t="shared" si="38"/>
        <v/>
      </c>
      <c r="DB8" s="2" t="str">
        <f t="shared" si="39"/>
        <v/>
      </c>
      <c r="DC8" s="2" t="str">
        <f t="shared" si="40"/>
        <v/>
      </c>
      <c r="DD8" s="2" t="str">
        <f t="shared" si="41"/>
        <v>max_strength = 20</v>
      </c>
      <c r="DE8" s="2" t="str">
        <f t="shared" si="42"/>
        <v>maximum_speed = 4.00</v>
      </c>
      <c r="DF8" s="2" t="str">
        <f t="shared" si="43"/>
        <v/>
      </c>
      <c r="DG8" s="2" t="str">
        <f t="shared" si="44"/>
        <v>officers = 200</v>
      </c>
      <c r="DH8" s="2" t="str">
        <f t="shared" si="45"/>
        <v>on_completion = artillery_practical</v>
      </c>
      <c r="DI8" s="2" t="str">
        <f t="shared" si="46"/>
        <v/>
      </c>
      <c r="DJ8" s="2" t="str">
        <f t="shared" si="47"/>
        <v>priority = 3</v>
      </c>
      <c r="DK8" s="2" t="str">
        <f t="shared" si="48"/>
        <v>radio_strength = 1</v>
      </c>
      <c r="DL8" s="2" t="str">
        <f t="shared" si="49"/>
        <v>repair_cost_multiplier = 0.05</v>
      </c>
      <c r="DM8" s="2" t="str">
        <f t="shared" si="50"/>
        <v>river = { attack = -0.05 }</v>
      </c>
      <c r="DN8" s="2" t="str">
        <f t="shared" si="51"/>
        <v>soft_attack = 2.40</v>
      </c>
      <c r="DO8" s="2" t="str">
        <f t="shared" si="52"/>
        <v>softness = 0.90</v>
      </c>
      <c r="DP8" s="2" t="str">
        <f t="shared" si="53"/>
        <v>sprite = Infantry</v>
      </c>
      <c r="DQ8" s="2" t="str">
        <f t="shared" si="54"/>
        <v>supply_consumption = 2</v>
      </c>
      <c r="DR8" s="2" t="str">
        <f t="shared" si="55"/>
        <v>suppression = 0</v>
      </c>
      <c r="DS8" s="2" t="str">
        <f t="shared" si="56"/>
        <v>toughness = 0.7</v>
      </c>
      <c r="DT8" s="2" t="str">
        <f t="shared" si="57"/>
        <v>transport_weight = 10</v>
      </c>
      <c r="DU8" s="2" t="str">
        <f t="shared" si="58"/>
        <v>type = land</v>
      </c>
      <c r="DV8" s="2" t="str">
        <f t="shared" si="59"/>
        <v>unit_group = artillery_unit_type</v>
      </c>
      <c r="DW8" s="2" t="str">
        <f t="shared" si="60"/>
        <v/>
      </c>
      <c r="DX8" s="2" t="str">
        <f t="shared" si="61"/>
        <v/>
      </c>
      <c r="DY8" s="2" t="s">
        <v>0</v>
      </c>
      <c r="DZ8" s="2" t="str">
        <f t="shared" si="63"/>
        <v xml:space="preserve">artillery_brigade = {
forest = {
attack = -0.20
movement = -0.20
}
hills = {
attack = -0.10
movement = -0.10
}
jungle = {
attack = -0.30
movement = -0.30
}
marsh = {
attack = -0.20
movement = -0.70
}
mountain = {
attack = -0.20
movement = -0.70
}
urban = {
attack = -0.20
}
woods = {
attack = -0.10
movement = -0.10
}
active = no
air_attack = 0.10
air_defence = 1.50
amphibious = { attack = -0.80 }
build_cost_ic = 5
build_cost_manpower = 2.66
build_time = 100
combat_width = 0
completion_size = 0.4
default_morale = 0.25
default_organisation = 20
defensiveness = 1.67
fort = { attack = 0.10 }
fuel_consumption = 0.00
hard_attack = 1.00
max_strength = 20
maximum_speed = 4.00
officers = 200
on_completion = artillery_practical
priority = 3
radio_strength = 1
repair_cost_multiplier = 0.05
river = { attack = -0.05 }
soft_attack = 2.40
softness = 0.90
sprite = Infantry
supply_consumption = 2
suppression = 0
toughness = 0.7
transport_weight = 10
type = land
unit_group = artillery_unit_type
}
</v>
      </c>
    </row>
    <row r="9" spans="1:130" x14ac:dyDescent="0.25">
      <c r="A9" s="2" t="str">
        <f t="shared" ca="1" si="64"/>
        <v>C:\Program Files (x86)\Paradox Interactive\Hearts of Iron III\tfh\mod\ww1tfh\units\austrian_brigade.txt</v>
      </c>
      <c r="B9" s="2" t="s">
        <v>8</v>
      </c>
      <c r="C9" s="5" t="s">
        <v>62</v>
      </c>
      <c r="D9" s="5" t="s">
        <v>62</v>
      </c>
      <c r="E9" s="5" t="s">
        <v>62</v>
      </c>
      <c r="F9" s="5" t="s">
        <v>62</v>
      </c>
      <c r="G9" s="5" t="s">
        <v>187</v>
      </c>
      <c r="H9" s="5" t="s">
        <v>62</v>
      </c>
      <c r="I9" s="5" t="s">
        <v>99</v>
      </c>
      <c r="J9" s="5" t="s">
        <v>187</v>
      </c>
      <c r="K9" s="5" t="s">
        <v>62</v>
      </c>
      <c r="L9" s="5" t="s">
        <v>62</v>
      </c>
      <c r="M9" s="5" t="s">
        <v>188</v>
      </c>
      <c r="N9" s="5" t="s">
        <v>62</v>
      </c>
      <c r="O9" s="5" t="s">
        <v>62</v>
      </c>
      <c r="P9" s="5" t="s">
        <v>189</v>
      </c>
      <c r="Q9" s="5" t="s">
        <v>187</v>
      </c>
      <c r="R9" s="5" t="s">
        <v>62</v>
      </c>
      <c r="S9" s="5" t="s">
        <v>107</v>
      </c>
      <c r="T9" s="5" t="s">
        <v>135</v>
      </c>
      <c r="U9" s="5" t="s">
        <v>62</v>
      </c>
      <c r="V9" s="5" t="s">
        <v>102</v>
      </c>
      <c r="W9" s="5" t="s">
        <v>62</v>
      </c>
      <c r="X9" s="5" t="s">
        <v>62</v>
      </c>
      <c r="Y9" s="5">
        <v>10.9</v>
      </c>
      <c r="Z9" s="5">
        <v>9.33</v>
      </c>
      <c r="AA9" s="5" t="s">
        <v>190</v>
      </c>
      <c r="AB9" s="5"/>
      <c r="AC9" s="5">
        <v>2</v>
      </c>
      <c r="AD9" s="5">
        <v>0.3</v>
      </c>
      <c r="AE9" s="5">
        <v>0.35000000000000003</v>
      </c>
      <c r="AF9" s="5">
        <v>30</v>
      </c>
      <c r="AG9" s="5" t="s">
        <v>105</v>
      </c>
      <c r="AH9" s="5" t="s">
        <v>62</v>
      </c>
      <c r="AI9" s="5" t="s">
        <v>62</v>
      </c>
      <c r="AJ9" s="5" t="s">
        <v>106</v>
      </c>
      <c r="AK9" s="5" t="s">
        <v>191</v>
      </c>
      <c r="AL9" s="5" t="s">
        <v>62</v>
      </c>
      <c r="AM9" s="5" t="s">
        <v>62</v>
      </c>
      <c r="AN9" s="5" t="s">
        <v>62</v>
      </c>
      <c r="AO9" s="5" t="s">
        <v>62</v>
      </c>
      <c r="AP9" s="5" t="s">
        <v>62</v>
      </c>
      <c r="AQ9" s="5" t="s">
        <v>108</v>
      </c>
      <c r="AR9" s="5">
        <v>70</v>
      </c>
      <c r="AS9" s="5" t="s">
        <v>105</v>
      </c>
      <c r="AT9" s="5" t="s">
        <v>110</v>
      </c>
      <c r="AU9" s="5">
        <v>250</v>
      </c>
      <c r="AV9" s="5" t="s">
        <v>111</v>
      </c>
      <c r="AW9" s="5" t="s">
        <v>62</v>
      </c>
      <c r="AX9" s="5" t="s">
        <v>112</v>
      </c>
      <c r="AY9" s="5" t="s">
        <v>102</v>
      </c>
      <c r="AZ9" s="5" t="s">
        <v>113</v>
      </c>
      <c r="BA9" s="5" t="s">
        <v>62</v>
      </c>
      <c r="BB9" s="5" t="s">
        <v>135</v>
      </c>
      <c r="BC9" s="5" t="s">
        <v>115</v>
      </c>
      <c r="BD9" s="5" t="s">
        <v>116</v>
      </c>
      <c r="BE9" s="5">
        <v>1.56</v>
      </c>
      <c r="BF9" s="5">
        <v>6</v>
      </c>
      <c r="BG9" s="6">
        <v>2.1</v>
      </c>
      <c r="BH9" s="5">
        <v>10</v>
      </c>
      <c r="BI9" s="5" t="s">
        <v>117</v>
      </c>
      <c r="BJ9" s="5" t="s">
        <v>118</v>
      </c>
      <c r="BK9" s="5"/>
      <c r="BL9" s="5" t="s">
        <v>192</v>
      </c>
      <c r="BN9" s="2" t="str">
        <f t="shared" si="0"/>
        <v>austrian_brigade = {</v>
      </c>
      <c r="BO9" s="2" t="str">
        <f t="shared" si="62"/>
        <v/>
      </c>
      <c r="BP9" s="2" t="str">
        <f t="shared" si="1"/>
        <v/>
      </c>
      <c r="BQ9" s="2" t="str">
        <f t="shared" si="2"/>
        <v/>
      </c>
      <c r="BR9" s="2" t="str">
        <f t="shared" si="3"/>
        <v/>
      </c>
      <c r="BS9" s="2" t="str">
        <f t="shared" si="4"/>
        <v xml:space="preserve">
forest = {
attack = 0.10
movement = 0.15
}</v>
      </c>
      <c r="BT9" s="2" t="str">
        <f t="shared" si="5"/>
        <v/>
      </c>
      <c r="BU9" s="2" t="str">
        <f t="shared" si="6"/>
        <v xml:space="preserve">
hills = {
attack = 0.05
movement = 0.05
}</v>
      </c>
      <c r="BV9" s="2" t="str">
        <f t="shared" si="7"/>
        <v xml:space="preserve">
jungle = {
attack = 0.10
movement = 0.15
}</v>
      </c>
      <c r="BW9" s="2" t="str">
        <f t="shared" si="8"/>
        <v/>
      </c>
      <c r="BX9" s="2" t="str">
        <f t="shared" si="9"/>
        <v/>
      </c>
      <c r="BY9" s="2" t="str">
        <f t="shared" si="10"/>
        <v xml:space="preserve">
night = {
attack = 0.10
defence = 0.10
movement = 0.10
}</v>
      </c>
      <c r="BZ9" s="2" t="str">
        <f t="shared" si="11"/>
        <v/>
      </c>
      <c r="CA9" s="2" t="str">
        <f t="shared" si="12"/>
        <v/>
      </c>
      <c r="CB9" s="2" t="str">
        <f t="shared" si="13"/>
        <v xml:space="preserve">
urban = {
attack = 0.20
defence = 0.15
}</v>
      </c>
      <c r="CC9" s="2" t="str">
        <f t="shared" si="14"/>
        <v xml:space="preserve">
woods = {
attack = 0.10
movement = 0.15
}</v>
      </c>
      <c r="CD9" s="2" t="str">
        <f t="shared" si="15"/>
        <v/>
      </c>
      <c r="CE9" s="2" t="str">
        <f t="shared" si="16"/>
        <v>air_attack = 0.33</v>
      </c>
      <c r="CF9" s="2" t="str">
        <f t="shared" si="17"/>
        <v>air_defence = 2.00</v>
      </c>
      <c r="CG9" s="2" t="str">
        <f t="shared" si="18"/>
        <v/>
      </c>
      <c r="CH9" s="2" t="str">
        <f t="shared" si="19"/>
        <v>ap_attack = 1</v>
      </c>
      <c r="CI9" s="2" t="str">
        <f t="shared" si="20"/>
        <v/>
      </c>
      <c r="CJ9" s="2" t="str">
        <f t="shared" si="21"/>
        <v/>
      </c>
      <c r="CK9" s="2" t="str">
        <f t="shared" si="22"/>
        <v>build_cost_ic = 10.9</v>
      </c>
      <c r="CL9" s="2" t="str">
        <f t="shared" si="23"/>
        <v>build_cost_manpower = 9.33</v>
      </c>
      <c r="CM9" s="2" t="str">
        <f t="shared" si="24"/>
        <v>build_time = 150</v>
      </c>
      <c r="CN9" s="2" t="str">
        <f t="shared" si="25"/>
        <v/>
      </c>
      <c r="CO9" s="2" t="str">
        <f t="shared" si="26"/>
        <v>combat_width = 2</v>
      </c>
      <c r="CP9" s="2" t="str">
        <f t="shared" si="27"/>
        <v>completion_size = 0.3</v>
      </c>
      <c r="CQ9" s="2" t="str">
        <f t="shared" si="28"/>
        <v>default_morale = 0.35</v>
      </c>
      <c r="CR9" s="2" t="str">
        <f t="shared" si="29"/>
        <v>default_organisation = 30</v>
      </c>
      <c r="CS9" s="2" t="str">
        <f t="shared" si="30"/>
        <v>defensiveness = 4.00</v>
      </c>
      <c r="CT9" s="2" t="str">
        <f t="shared" si="31"/>
        <v/>
      </c>
      <c r="CU9" s="2" t="str">
        <f t="shared" si="32"/>
        <v/>
      </c>
      <c r="CV9" s="2" t="str">
        <f t="shared" si="33"/>
        <v>fuel_consumption = 0.00</v>
      </c>
      <c r="CW9" s="2" t="str">
        <f t="shared" si="34"/>
        <v>hard_attack = 0.67</v>
      </c>
      <c r="CX9" s="2" t="str">
        <f t="shared" si="35"/>
        <v/>
      </c>
      <c r="CY9" s="2" t="str">
        <f t="shared" si="36"/>
        <v/>
      </c>
      <c r="CZ9" s="2" t="str">
        <f t="shared" si="37"/>
        <v/>
      </c>
      <c r="DA9" s="2" t="str">
        <f t="shared" si="38"/>
        <v/>
      </c>
      <c r="DB9" s="2" t="str">
        <f t="shared" si="39"/>
        <v/>
      </c>
      <c r="DC9" s="2" t="str">
        <f t="shared" si="40"/>
        <v>max_percentage_of_type = 0.04</v>
      </c>
      <c r="DD9" s="2" t="str">
        <f t="shared" si="41"/>
        <v>max_strength = 70</v>
      </c>
      <c r="DE9" s="2" t="str">
        <f t="shared" si="42"/>
        <v>maximum_speed = 4.00</v>
      </c>
      <c r="DF9" s="2" t="str">
        <f t="shared" si="43"/>
        <v>minimum_of_type = 6</v>
      </c>
      <c r="DG9" s="2" t="str">
        <f t="shared" si="44"/>
        <v>officers = 250</v>
      </c>
      <c r="DH9" s="2" t="str">
        <f t="shared" si="45"/>
        <v>on_completion = infantry_practical</v>
      </c>
      <c r="DI9" s="2" t="str">
        <f t="shared" si="46"/>
        <v/>
      </c>
      <c r="DJ9" s="2" t="str">
        <f t="shared" si="47"/>
        <v>priority = 9</v>
      </c>
      <c r="DK9" s="2" t="str">
        <f t="shared" si="48"/>
        <v>radio_strength = 1</v>
      </c>
      <c r="DL9" s="2" t="str">
        <f t="shared" si="49"/>
        <v>repair_cost_multiplier = 0.05</v>
      </c>
      <c r="DM9" s="2" t="str">
        <f t="shared" si="50"/>
        <v/>
      </c>
      <c r="DN9" s="2" t="str">
        <f t="shared" si="51"/>
        <v>soft_attack = 2.00</v>
      </c>
      <c r="DO9" s="2" t="str">
        <f t="shared" si="52"/>
        <v>softness = 1.00</v>
      </c>
      <c r="DP9" s="2" t="str">
        <f t="shared" si="53"/>
        <v>sprite = Elite</v>
      </c>
      <c r="DQ9" s="2" t="str">
        <f t="shared" si="54"/>
        <v>supply_consumption = 1.56</v>
      </c>
      <c r="DR9" s="2" t="str">
        <f t="shared" si="55"/>
        <v>suppression = 6</v>
      </c>
      <c r="DS9" s="2" t="str">
        <f t="shared" si="56"/>
        <v>toughness = 2.1</v>
      </c>
      <c r="DT9" s="2" t="str">
        <f t="shared" si="57"/>
        <v>transport_weight = 10</v>
      </c>
      <c r="DU9" s="2" t="str">
        <f t="shared" si="58"/>
        <v>type = land</v>
      </c>
      <c r="DV9" s="2" t="str">
        <f t="shared" si="59"/>
        <v>unit_group = infantry_unit_type</v>
      </c>
      <c r="DW9" s="2" t="str">
        <f t="shared" si="60"/>
        <v/>
      </c>
      <c r="DX9" s="2" t="str">
        <f t="shared" si="61"/>
        <v>usable_by = { AUH }</v>
      </c>
      <c r="DY9" s="2" t="s">
        <v>0</v>
      </c>
      <c r="DZ9" s="2" t="str">
        <f t="shared" si="63"/>
        <v xml:space="preserve">austrian_brigade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10.9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AUH }
}
</v>
      </c>
    </row>
    <row r="10" spans="1:130" x14ac:dyDescent="0.25">
      <c r="A10" s="2" t="str">
        <f t="shared" ca="1" si="64"/>
        <v>C:\Program Files (x86)\Paradox Interactive\Hearts of Iron III\tfh\mod\ww1tfh\units\bergsjaeger_brigade.txt</v>
      </c>
      <c r="B10" s="2" t="s">
        <v>9</v>
      </c>
      <c r="C10" s="5" t="s">
        <v>62</v>
      </c>
      <c r="D10" s="5" t="s">
        <v>193</v>
      </c>
      <c r="E10" s="5" t="s">
        <v>62</v>
      </c>
      <c r="F10" s="5" t="s">
        <v>62</v>
      </c>
      <c r="G10" s="5" t="s">
        <v>96</v>
      </c>
      <c r="H10" s="5" t="s">
        <v>62</v>
      </c>
      <c r="I10" s="5" t="s">
        <v>194</v>
      </c>
      <c r="J10" s="5" t="s">
        <v>96</v>
      </c>
      <c r="K10" s="5" t="s">
        <v>62</v>
      </c>
      <c r="L10" s="5" t="s">
        <v>195</v>
      </c>
      <c r="M10" s="5" t="s">
        <v>62</v>
      </c>
      <c r="N10" s="5" t="s">
        <v>62</v>
      </c>
      <c r="O10" s="5" t="s">
        <v>62</v>
      </c>
      <c r="P10" s="5" t="s">
        <v>62</v>
      </c>
      <c r="Q10" s="5" t="s">
        <v>99</v>
      </c>
      <c r="R10" s="5" t="s">
        <v>90</v>
      </c>
      <c r="S10" s="5" t="s">
        <v>100</v>
      </c>
      <c r="T10" s="5" t="s">
        <v>101</v>
      </c>
      <c r="U10" s="5" t="s">
        <v>62</v>
      </c>
      <c r="V10" s="5" t="s">
        <v>196</v>
      </c>
      <c r="W10" s="5" t="s">
        <v>62</v>
      </c>
      <c r="X10" s="5" t="s">
        <v>62</v>
      </c>
      <c r="Y10" s="5">
        <v>6.23</v>
      </c>
      <c r="Z10" s="5">
        <v>9.33</v>
      </c>
      <c r="AA10" s="5" t="s">
        <v>190</v>
      </c>
      <c r="AB10" s="5"/>
      <c r="AC10" s="5">
        <v>2</v>
      </c>
      <c r="AD10" s="5" t="s">
        <v>104</v>
      </c>
      <c r="AE10" s="5">
        <v>0.35000000000000003</v>
      </c>
      <c r="AF10" s="5">
        <v>30</v>
      </c>
      <c r="AG10" s="5" t="s">
        <v>105</v>
      </c>
      <c r="AH10" s="5" t="s">
        <v>62</v>
      </c>
      <c r="AI10" s="5" t="s">
        <v>62</v>
      </c>
      <c r="AJ10" s="5" t="s">
        <v>106</v>
      </c>
      <c r="AK10" s="5" t="s">
        <v>107</v>
      </c>
      <c r="AL10" s="5" t="s">
        <v>62</v>
      </c>
      <c r="AM10" s="5" t="s">
        <v>62</v>
      </c>
      <c r="AN10" s="5" t="s">
        <v>62</v>
      </c>
      <c r="AO10" s="5" t="s">
        <v>62</v>
      </c>
      <c r="AP10" s="5" t="s">
        <v>62</v>
      </c>
      <c r="AQ10" s="5" t="s">
        <v>108</v>
      </c>
      <c r="AR10" s="5">
        <v>70</v>
      </c>
      <c r="AS10" s="5" t="s">
        <v>109</v>
      </c>
      <c r="AT10" s="5" t="s">
        <v>110</v>
      </c>
      <c r="AU10" s="5">
        <v>250</v>
      </c>
      <c r="AV10" s="5" t="s">
        <v>111</v>
      </c>
      <c r="AW10" s="5" t="s">
        <v>62</v>
      </c>
      <c r="AX10" s="5" t="s">
        <v>197</v>
      </c>
      <c r="AY10" s="5" t="s">
        <v>102</v>
      </c>
      <c r="AZ10" s="5" t="s">
        <v>113</v>
      </c>
      <c r="BA10" s="5" t="s">
        <v>62</v>
      </c>
      <c r="BB10" s="5" t="s">
        <v>114</v>
      </c>
      <c r="BC10" s="5" t="s">
        <v>115</v>
      </c>
      <c r="BD10" s="5" t="s">
        <v>143</v>
      </c>
      <c r="BE10" s="5">
        <v>1.56</v>
      </c>
      <c r="BF10" s="5">
        <v>1.34</v>
      </c>
      <c r="BG10" s="6">
        <v>2.33</v>
      </c>
      <c r="BH10" s="5">
        <v>16</v>
      </c>
      <c r="BI10" s="5" t="s">
        <v>117</v>
      </c>
      <c r="BJ10" s="5" t="s">
        <v>118</v>
      </c>
      <c r="BK10" s="5"/>
      <c r="BL10" s="5" t="s">
        <v>62</v>
      </c>
      <c r="BN10" s="2" t="str">
        <f t="shared" si="0"/>
        <v>bergsjaeger_brigade = {</v>
      </c>
      <c r="BO10" s="2" t="str">
        <f t="shared" si="62"/>
        <v/>
      </c>
      <c r="BP10" s="2" t="str">
        <f t="shared" si="1"/>
        <v xml:space="preserve">
arctic = {
attack = 0.50
defence = 0.20
movement = 0.20
}</v>
      </c>
      <c r="BQ10" s="2" t="str">
        <f t="shared" si="2"/>
        <v/>
      </c>
      <c r="BR10" s="2" t="str">
        <f t="shared" si="3"/>
        <v/>
      </c>
      <c r="BS10" s="2" t="str">
        <f t="shared" si="4"/>
        <v xml:space="preserve">
forest = {
attack = 0.10
movement = 0.10
}</v>
      </c>
      <c r="BT10" s="2" t="str">
        <f t="shared" si="5"/>
        <v/>
      </c>
      <c r="BU10" s="2" t="str">
        <f t="shared" si="6"/>
        <v xml:space="preserve">
hills = {
attack = 0.40
defence = 0.10
movement = 0.10
}</v>
      </c>
      <c r="BV10" s="2" t="str">
        <f t="shared" si="7"/>
        <v xml:space="preserve">
jungle = {
attack = 0.10
movement = 0.10
}</v>
      </c>
      <c r="BW10" s="2" t="str">
        <f t="shared" si="8"/>
        <v/>
      </c>
      <c r="BX10" s="2" t="str">
        <f t="shared" si="9"/>
        <v xml:space="preserve">
mountain = {
attack = 0.50
defence = 0.20
movement = 0.10
}</v>
      </c>
      <c r="BY10" s="2" t="str">
        <f t="shared" si="10"/>
        <v/>
      </c>
      <c r="BZ10" s="2" t="str">
        <f t="shared" si="11"/>
        <v/>
      </c>
      <c r="CA10" s="2" t="str">
        <f t="shared" si="12"/>
        <v/>
      </c>
      <c r="CB10" s="2" t="str">
        <f t="shared" si="13"/>
        <v/>
      </c>
      <c r="CC10" s="2" t="str">
        <f t="shared" si="14"/>
        <v xml:space="preserve">
woods = {
attack = 0.05
movement = 0.05
}</v>
      </c>
      <c r="CD10" s="2" t="str">
        <f t="shared" si="15"/>
        <v>active = no</v>
      </c>
      <c r="CE10" s="2" t="str">
        <f t="shared" si="16"/>
        <v>air_attack = 0.10</v>
      </c>
      <c r="CF10" s="2" t="str">
        <f t="shared" si="17"/>
        <v>air_defence = 2.50</v>
      </c>
      <c r="CG10" s="2" t="str">
        <f t="shared" si="18"/>
        <v/>
      </c>
      <c r="CH10" s="2" t="str">
        <f t="shared" si="19"/>
        <v>ap_attack = 0.5</v>
      </c>
      <c r="CI10" s="2" t="str">
        <f t="shared" si="20"/>
        <v/>
      </c>
      <c r="CJ10" s="2" t="str">
        <f t="shared" si="21"/>
        <v/>
      </c>
      <c r="CK10" s="2" t="str">
        <f t="shared" si="22"/>
        <v>build_cost_ic = 6.23</v>
      </c>
      <c r="CL10" s="2" t="str">
        <f t="shared" si="23"/>
        <v>build_cost_manpower = 9.33</v>
      </c>
      <c r="CM10" s="2" t="str">
        <f t="shared" si="24"/>
        <v>build_time = 150</v>
      </c>
      <c r="CN10" s="2" t="str">
        <f t="shared" si="25"/>
        <v/>
      </c>
      <c r="CO10" s="2" t="str">
        <f t="shared" si="26"/>
        <v>combat_width = 2</v>
      </c>
      <c r="CP10" s="2" t="str">
        <f t="shared" si="27"/>
        <v>completion_size = 0.3</v>
      </c>
      <c r="CQ10" s="2" t="str">
        <f t="shared" si="28"/>
        <v>default_morale = 0.35</v>
      </c>
      <c r="CR10" s="2" t="str">
        <f t="shared" si="29"/>
        <v>default_organisation = 30</v>
      </c>
      <c r="CS10" s="2" t="str">
        <f t="shared" si="30"/>
        <v>defensiveness = 4.00</v>
      </c>
      <c r="CT10" s="2" t="str">
        <f t="shared" si="31"/>
        <v/>
      </c>
      <c r="CU10" s="2" t="str">
        <f t="shared" si="32"/>
        <v/>
      </c>
      <c r="CV10" s="2" t="str">
        <f t="shared" si="33"/>
        <v>fuel_consumption = 0.00</v>
      </c>
      <c r="CW10" s="2" t="str">
        <f t="shared" si="34"/>
        <v>hard_attack = 0.33</v>
      </c>
      <c r="CX10" s="2" t="str">
        <f t="shared" si="35"/>
        <v/>
      </c>
      <c r="CY10" s="2" t="str">
        <f t="shared" si="36"/>
        <v/>
      </c>
      <c r="CZ10" s="2" t="str">
        <f t="shared" si="37"/>
        <v/>
      </c>
      <c r="DA10" s="2" t="str">
        <f t="shared" si="38"/>
        <v/>
      </c>
      <c r="DB10" s="2" t="str">
        <f t="shared" si="39"/>
        <v/>
      </c>
      <c r="DC10" s="2" t="str">
        <f t="shared" si="40"/>
        <v>max_percentage_of_type = 0.04</v>
      </c>
      <c r="DD10" s="2" t="str">
        <f t="shared" si="41"/>
        <v>max_strength = 70</v>
      </c>
      <c r="DE10" s="2" t="str">
        <f t="shared" si="42"/>
        <v>maximum_speed = 4.33</v>
      </c>
      <c r="DF10" s="2" t="str">
        <f t="shared" si="43"/>
        <v>minimum_of_type = 6</v>
      </c>
      <c r="DG10" s="2" t="str">
        <f t="shared" si="44"/>
        <v>officers = 250</v>
      </c>
      <c r="DH10" s="2" t="str">
        <f t="shared" si="45"/>
        <v>on_completion = infantry_practical</v>
      </c>
      <c r="DI10" s="2" t="str">
        <f t="shared" si="46"/>
        <v/>
      </c>
      <c r="DJ10" s="2" t="str">
        <f t="shared" si="47"/>
        <v>priority = 8</v>
      </c>
      <c r="DK10" s="2" t="str">
        <f t="shared" si="48"/>
        <v>radio_strength = 1</v>
      </c>
      <c r="DL10" s="2" t="str">
        <f t="shared" si="49"/>
        <v>repair_cost_multiplier = 0.05</v>
      </c>
      <c r="DM10" s="2" t="str">
        <f t="shared" si="50"/>
        <v/>
      </c>
      <c r="DN10" s="2" t="str">
        <f t="shared" si="51"/>
        <v>soft_attack = 1.67</v>
      </c>
      <c r="DO10" s="2" t="str">
        <f t="shared" si="52"/>
        <v>softness = 1.00</v>
      </c>
      <c r="DP10" s="2" t="str">
        <f t="shared" si="53"/>
        <v>sprite = Infantry</v>
      </c>
      <c r="DQ10" s="2" t="str">
        <f t="shared" si="54"/>
        <v>supply_consumption = 1.56</v>
      </c>
      <c r="DR10" s="2" t="str">
        <f t="shared" si="55"/>
        <v>suppression = 1.34</v>
      </c>
      <c r="DS10" s="2" t="str">
        <f t="shared" si="56"/>
        <v>toughness = 2.33</v>
      </c>
      <c r="DT10" s="2" t="str">
        <f t="shared" si="57"/>
        <v>transport_weight = 16</v>
      </c>
      <c r="DU10" s="2" t="str">
        <f t="shared" si="58"/>
        <v>type = land</v>
      </c>
      <c r="DV10" s="2" t="str">
        <f t="shared" si="59"/>
        <v>unit_group = infantry_unit_type</v>
      </c>
      <c r="DW10" s="2" t="str">
        <f t="shared" si="60"/>
        <v/>
      </c>
      <c r="DX10" s="2" t="str">
        <f t="shared" si="61"/>
        <v/>
      </c>
      <c r="DY10" s="2" t="s">
        <v>0</v>
      </c>
      <c r="DZ10" s="2" t="str">
        <f t="shared" si="63"/>
        <v xml:space="preserve">bergsjaeger_brigade = {
arctic = {
attack = 0.50
defence = 0.20
movement = 0.20
}
forest = {
attack = 0.10
movement = 0.10
}
hills = {
attack = 0.40
defence = 0.10
movement = 0.10
}
jungle = {
attack = 0.10
movement = 0.10
}
mountain = {
attack = 0.50
defence = 0.20
movement = 0.10
}
woods = {
attack = 0.05
movement = 0.05
}
active = no
air_attack = 0.10
air_defence = 2.50
ap_attack = 0.5
build_cost_ic = 6.23
build_cost_manpower = 9.33
build_time = 150
combat_width = 2
completion_size = 0.3
default_morale = 0.35
default_organisation = 30
defensiveness = 4.00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1.56
suppression = 1.34
toughness = 2.33
transport_weight = 16
type = land
unit_group = infantry_unit_type
}
</v>
      </c>
    </row>
    <row r="11" spans="1:130" x14ac:dyDescent="0.25">
      <c r="A11" s="2" t="str">
        <f t="shared" ca="1" si="64"/>
        <v>C:\Program Files (x86)\Paradox Interactive\Hearts of Iron III\tfh\mod\ww1tfh\units\cavalry_brigade.txt</v>
      </c>
      <c r="B11" s="2" t="s">
        <v>10</v>
      </c>
      <c r="C11" s="5" t="s">
        <v>62</v>
      </c>
      <c r="D11" s="5" t="s">
        <v>62</v>
      </c>
      <c r="E11" s="5" t="s">
        <v>62</v>
      </c>
      <c r="F11" s="5" t="s">
        <v>62</v>
      </c>
      <c r="G11" s="5" t="s">
        <v>62</v>
      </c>
      <c r="H11" s="5" t="s">
        <v>62</v>
      </c>
      <c r="I11" s="5" t="s">
        <v>62</v>
      </c>
      <c r="J11" s="5" t="s">
        <v>62</v>
      </c>
      <c r="K11" s="5" t="s">
        <v>62</v>
      </c>
      <c r="L11" s="5" t="s">
        <v>198</v>
      </c>
      <c r="M11" s="5" t="s">
        <v>62</v>
      </c>
      <c r="N11" s="5" t="s">
        <v>62</v>
      </c>
      <c r="O11" s="5" t="s">
        <v>62</v>
      </c>
      <c r="P11" s="5" t="s">
        <v>62</v>
      </c>
      <c r="Q11" s="5" t="s">
        <v>62</v>
      </c>
      <c r="R11" s="5" t="s">
        <v>62</v>
      </c>
      <c r="S11" s="5" t="s">
        <v>107</v>
      </c>
      <c r="T11" s="5" t="s">
        <v>199</v>
      </c>
      <c r="U11" s="5" t="s">
        <v>130</v>
      </c>
      <c r="V11" s="5" t="s">
        <v>196</v>
      </c>
      <c r="W11" s="5" t="s">
        <v>62</v>
      </c>
      <c r="X11" s="5" t="s">
        <v>62</v>
      </c>
      <c r="Y11" s="5">
        <v>1</v>
      </c>
      <c r="Z11" s="5">
        <v>1.5</v>
      </c>
      <c r="AA11" s="5" t="s">
        <v>174</v>
      </c>
      <c r="AB11" s="5"/>
      <c r="AC11" s="5">
        <v>1</v>
      </c>
      <c r="AD11" s="5" t="s">
        <v>134</v>
      </c>
      <c r="AE11" s="5">
        <v>0.25</v>
      </c>
      <c r="AF11" s="5">
        <v>20</v>
      </c>
      <c r="AG11" s="5" t="s">
        <v>135</v>
      </c>
      <c r="AH11" s="5" t="s">
        <v>140</v>
      </c>
      <c r="AI11" s="5" t="s">
        <v>62</v>
      </c>
      <c r="AJ11" s="5" t="s">
        <v>106</v>
      </c>
      <c r="AK11" s="5" t="s">
        <v>106</v>
      </c>
      <c r="AL11" s="5" t="s">
        <v>140</v>
      </c>
      <c r="AM11" s="5" t="s">
        <v>62</v>
      </c>
      <c r="AN11" s="5" t="s">
        <v>62</v>
      </c>
      <c r="AO11" s="5" t="s">
        <v>62</v>
      </c>
      <c r="AP11" s="5" t="s">
        <v>200</v>
      </c>
      <c r="AQ11" s="5" t="s">
        <v>62</v>
      </c>
      <c r="AR11" s="5">
        <v>15</v>
      </c>
      <c r="AS11" s="5" t="s">
        <v>201</v>
      </c>
      <c r="AT11" s="5" t="s">
        <v>62</v>
      </c>
      <c r="AU11" s="5">
        <v>50</v>
      </c>
      <c r="AV11" s="5" t="s">
        <v>178</v>
      </c>
      <c r="AW11" s="5" t="s">
        <v>62</v>
      </c>
      <c r="AX11" s="5" t="s">
        <v>110</v>
      </c>
      <c r="AY11" s="5" t="s">
        <v>102</v>
      </c>
      <c r="AZ11" s="5" t="s">
        <v>113</v>
      </c>
      <c r="BA11" s="5" t="s">
        <v>62</v>
      </c>
      <c r="BB11" s="5" t="s">
        <v>114</v>
      </c>
      <c r="BC11" s="5" t="s">
        <v>115</v>
      </c>
      <c r="BD11" s="5" t="s">
        <v>202</v>
      </c>
      <c r="BE11" s="5">
        <v>2.33</v>
      </c>
      <c r="BF11" s="5">
        <v>2</v>
      </c>
      <c r="BG11" s="6">
        <v>1.87</v>
      </c>
      <c r="BH11" s="5">
        <v>7.5</v>
      </c>
      <c r="BI11" s="5" t="s">
        <v>117</v>
      </c>
      <c r="BJ11" s="5" t="s">
        <v>118</v>
      </c>
      <c r="BK11" s="5"/>
      <c r="BL11" s="5" t="s">
        <v>62</v>
      </c>
      <c r="BN11" s="2" t="str">
        <f t="shared" si="0"/>
        <v>cavalry_brigade = {</v>
      </c>
      <c r="BO11" s="2" t="str">
        <f t="shared" si="62"/>
        <v/>
      </c>
      <c r="BP11" s="2" t="str">
        <f t="shared" si="1"/>
        <v/>
      </c>
      <c r="BQ11" s="2" t="str">
        <f t="shared" si="2"/>
        <v/>
      </c>
      <c r="BR11" s="2" t="str">
        <f t="shared" si="3"/>
        <v/>
      </c>
      <c r="BS11" s="2" t="str">
        <f t="shared" si="4"/>
        <v/>
      </c>
      <c r="BT11" s="2" t="str">
        <f t="shared" si="5"/>
        <v/>
      </c>
      <c r="BU11" s="2" t="str">
        <f t="shared" si="6"/>
        <v/>
      </c>
      <c r="BV11" s="2" t="str">
        <f t="shared" si="7"/>
        <v/>
      </c>
      <c r="BW11" s="2" t="str">
        <f t="shared" si="8"/>
        <v/>
      </c>
      <c r="BX11" s="2" t="str">
        <f t="shared" si="9"/>
        <v xml:space="preserve">
mountain = {
attack = -0.10
movement = -0.05
}</v>
      </c>
      <c r="BY11" s="2" t="str">
        <f t="shared" si="10"/>
        <v/>
      </c>
      <c r="BZ11" s="2" t="str">
        <f t="shared" si="11"/>
        <v/>
      </c>
      <c r="CA11" s="2" t="str">
        <f t="shared" si="12"/>
        <v/>
      </c>
      <c r="CB11" s="2" t="str">
        <f t="shared" si="13"/>
        <v/>
      </c>
      <c r="CC11" s="2" t="str">
        <f t="shared" si="14"/>
        <v/>
      </c>
      <c r="CD11" s="2" t="str">
        <f t="shared" si="15"/>
        <v/>
      </c>
      <c r="CE11" s="2" t="str">
        <f t="shared" si="16"/>
        <v>air_attack = 0.33</v>
      </c>
      <c r="CF11" s="2" t="str">
        <f t="shared" si="17"/>
        <v>air_defence = 1.60</v>
      </c>
      <c r="CG11" s="2" t="str">
        <f t="shared" si="18"/>
        <v>amphibious = { attack = -0.40 }</v>
      </c>
      <c r="CH11" s="2" t="str">
        <f t="shared" si="19"/>
        <v>ap_attack = 0.5</v>
      </c>
      <c r="CI11" s="2" t="str">
        <f t="shared" si="20"/>
        <v/>
      </c>
      <c r="CJ11" s="2" t="str">
        <f t="shared" si="21"/>
        <v/>
      </c>
      <c r="CK11" s="2" t="str">
        <f t="shared" si="22"/>
        <v>build_cost_ic = 1</v>
      </c>
      <c r="CL11" s="2" t="str">
        <f t="shared" si="23"/>
        <v>build_cost_manpower = 1.5</v>
      </c>
      <c r="CM11" s="2" t="str">
        <f t="shared" si="24"/>
        <v>build_time = 110</v>
      </c>
      <c r="CN11" s="2" t="str">
        <f t="shared" si="25"/>
        <v/>
      </c>
      <c r="CO11" s="2" t="str">
        <f t="shared" si="26"/>
        <v>combat_width = 1</v>
      </c>
      <c r="CP11" s="2" t="str">
        <f t="shared" si="27"/>
        <v>completion_size = 0.2</v>
      </c>
      <c r="CQ11" s="2" t="str">
        <f t="shared" si="28"/>
        <v>default_morale = 0.25</v>
      </c>
      <c r="CR11" s="2" t="str">
        <f t="shared" si="29"/>
        <v>default_organisation = 20</v>
      </c>
      <c r="CS11" s="2" t="str">
        <f t="shared" si="30"/>
        <v>defensiveness = 2.00</v>
      </c>
      <c r="CT11" s="2" t="str">
        <f t="shared" si="31"/>
        <v>forest = { attack = -0.05 }</v>
      </c>
      <c r="CU11" s="2" t="str">
        <f t="shared" si="32"/>
        <v/>
      </c>
      <c r="CV11" s="2" t="str">
        <f t="shared" si="33"/>
        <v>fuel_consumption = 0.00</v>
      </c>
      <c r="CW11" s="2" t="str">
        <f t="shared" si="34"/>
        <v>hard_attack = 0.00</v>
      </c>
      <c r="CX11" s="2" t="str">
        <f t="shared" si="35"/>
        <v>hills = { attack = -0.05 }</v>
      </c>
      <c r="CY11" s="2" t="str">
        <f t="shared" si="36"/>
        <v/>
      </c>
      <c r="CZ11" s="2" t="str">
        <f t="shared" si="37"/>
        <v/>
      </c>
      <c r="DA11" s="2" t="str">
        <f t="shared" si="38"/>
        <v/>
      </c>
      <c r="DB11" s="2" t="str">
        <f t="shared" si="39"/>
        <v>jungle = { attack = -0.10 }</v>
      </c>
      <c r="DC11" s="2" t="str">
        <f t="shared" si="40"/>
        <v/>
      </c>
      <c r="DD11" s="2" t="str">
        <f t="shared" si="41"/>
        <v>max_strength = 15</v>
      </c>
      <c r="DE11" s="2" t="str">
        <f t="shared" si="42"/>
        <v>maximum_speed = 6.00</v>
      </c>
      <c r="DF11" s="2" t="str">
        <f t="shared" si="43"/>
        <v/>
      </c>
      <c r="DG11" s="2" t="str">
        <f t="shared" si="44"/>
        <v>officers = 50</v>
      </c>
      <c r="DH11" s="2" t="str">
        <f t="shared" si="45"/>
        <v>on_completion = mobile_practical</v>
      </c>
      <c r="DI11" s="2" t="str">
        <f t="shared" si="46"/>
        <v/>
      </c>
      <c r="DJ11" s="2" t="str">
        <f t="shared" si="47"/>
        <v>priority = 6</v>
      </c>
      <c r="DK11" s="2" t="str">
        <f t="shared" si="48"/>
        <v>radio_strength = 1</v>
      </c>
      <c r="DL11" s="2" t="str">
        <f t="shared" si="49"/>
        <v>repair_cost_multiplier = 0.05</v>
      </c>
      <c r="DM11" s="2" t="str">
        <f t="shared" si="50"/>
        <v/>
      </c>
      <c r="DN11" s="2" t="str">
        <f t="shared" si="51"/>
        <v>soft_attack = 1.67</v>
      </c>
      <c r="DO11" s="2" t="str">
        <f t="shared" si="52"/>
        <v>softness = 1.00</v>
      </c>
      <c r="DP11" s="2" t="str">
        <f t="shared" si="53"/>
        <v>sprite = Cavalry</v>
      </c>
      <c r="DQ11" s="2" t="str">
        <f t="shared" si="54"/>
        <v>supply_consumption = 2.33</v>
      </c>
      <c r="DR11" s="2" t="str">
        <f t="shared" si="55"/>
        <v>suppression = 2</v>
      </c>
      <c r="DS11" s="2" t="str">
        <f t="shared" si="56"/>
        <v>toughness = 1.87</v>
      </c>
      <c r="DT11" s="2" t="str">
        <f t="shared" si="57"/>
        <v>transport_weight = 7.5</v>
      </c>
      <c r="DU11" s="2" t="str">
        <f t="shared" si="58"/>
        <v>type = land</v>
      </c>
      <c r="DV11" s="2" t="str">
        <f t="shared" si="59"/>
        <v>unit_group = infantry_unit_type</v>
      </c>
      <c r="DW11" s="2" t="str">
        <f t="shared" si="60"/>
        <v/>
      </c>
      <c r="DX11" s="2" t="str">
        <f t="shared" si="61"/>
        <v/>
      </c>
      <c r="DY11" s="2" t="s">
        <v>0</v>
      </c>
      <c r="DZ11" s="2" t="str">
        <f t="shared" si="63"/>
        <v xml:space="preserve">cavalry_brigade = {
mountain = {
attack = -0.10
movement = -0.05
}
air_attack = 0.33
air_defence = 1.60
amphibious = { attack = -0.40 }
ap_attack = 0.5
build_cost_ic = 1
build_cost_manpower = 1.5
build_time = 110
combat_width = 1
completion_size = 0.2
default_morale = 0.25
default_organisation = 20
defensiveness = 2.00
forest = { attack = -0.05 }
fuel_consumption = 0.00
hard_attack = 0.00
hills = { attack = -0.05 }
jungle = { attack = -0.10 }
max_strength = 15
maximum_speed = 6.00
officers = 50
on_completion = mobile_practical
priority = 6
radio_strength = 1
repair_cost_multiplier = 0.05
soft_attack = 1.67
softness = 1.00
sprite = Cavalry
supply_consumption = 2.33
suppression = 2
toughness = 1.87
transport_weight = 7.5
type = land
unit_group = infantry_unit_type
}
</v>
      </c>
    </row>
    <row r="12" spans="1:130" x14ac:dyDescent="0.25">
      <c r="A12" s="2" t="str">
        <f t="shared" ca="1" si="64"/>
        <v>C:\Program Files (x86)\Paradox Interactive\Hearts of Iron III\tfh\mod\ww1tfh\units\engineer_brigade.txt</v>
      </c>
      <c r="B12" s="2" t="s">
        <v>11</v>
      </c>
      <c r="C12" s="5" t="s">
        <v>203</v>
      </c>
      <c r="D12" s="5" t="s">
        <v>204</v>
      </c>
      <c r="E12" s="5" t="s">
        <v>62</v>
      </c>
      <c r="F12" s="5" t="s">
        <v>204</v>
      </c>
      <c r="G12" s="5" t="s">
        <v>62</v>
      </c>
      <c r="H12" s="5" t="s">
        <v>205</v>
      </c>
      <c r="I12" s="5" t="s">
        <v>204</v>
      </c>
      <c r="J12" s="5" t="s">
        <v>62</v>
      </c>
      <c r="K12" s="5" t="s">
        <v>206</v>
      </c>
      <c r="L12" s="5" t="s">
        <v>204</v>
      </c>
      <c r="M12" s="5" t="s">
        <v>62</v>
      </c>
      <c r="N12" s="5" t="s">
        <v>204</v>
      </c>
      <c r="O12" s="5" t="s">
        <v>207</v>
      </c>
      <c r="P12" s="5" t="s">
        <v>208</v>
      </c>
      <c r="Q12" s="5" t="s">
        <v>62</v>
      </c>
      <c r="R12" s="5" t="s">
        <v>90</v>
      </c>
      <c r="S12" s="5" t="s">
        <v>106</v>
      </c>
      <c r="T12" s="5" t="s">
        <v>135</v>
      </c>
      <c r="U12" s="5" t="s">
        <v>62</v>
      </c>
      <c r="V12" s="5" t="s">
        <v>62</v>
      </c>
      <c r="W12" s="5" t="s">
        <v>62</v>
      </c>
      <c r="X12" s="5" t="s">
        <v>62</v>
      </c>
      <c r="Y12" s="5" t="s">
        <v>209</v>
      </c>
      <c r="Z12" s="5" t="s">
        <v>148</v>
      </c>
      <c r="AA12" s="5" t="s">
        <v>210</v>
      </c>
      <c r="AB12" s="5"/>
      <c r="AC12" s="5" t="s">
        <v>133</v>
      </c>
      <c r="AD12" s="5" t="s">
        <v>104</v>
      </c>
      <c r="AE12" s="5">
        <v>0.25</v>
      </c>
      <c r="AF12" s="5">
        <v>20</v>
      </c>
      <c r="AG12" s="5" t="s">
        <v>147</v>
      </c>
      <c r="AH12" s="5" t="s">
        <v>62</v>
      </c>
      <c r="AI12" s="5" t="s">
        <v>62</v>
      </c>
      <c r="AJ12" s="5" t="s">
        <v>176</v>
      </c>
      <c r="AK12" s="5" t="s">
        <v>191</v>
      </c>
      <c r="AL12" s="5" t="s">
        <v>62</v>
      </c>
      <c r="AM12" s="5" t="s">
        <v>62</v>
      </c>
      <c r="AN12" s="5" t="s">
        <v>62</v>
      </c>
      <c r="AO12" s="5" t="s">
        <v>62</v>
      </c>
      <c r="AP12" s="5" t="s">
        <v>62</v>
      </c>
      <c r="AQ12" s="5" t="s">
        <v>62</v>
      </c>
      <c r="AR12" s="5" t="s">
        <v>136</v>
      </c>
      <c r="AS12" s="5">
        <v>5</v>
      </c>
      <c r="AT12" s="5" t="s">
        <v>62</v>
      </c>
      <c r="AU12" s="5" t="s">
        <v>137</v>
      </c>
      <c r="AV12" s="5" t="s">
        <v>111</v>
      </c>
      <c r="AW12" s="5" t="s">
        <v>62</v>
      </c>
      <c r="AX12" s="5" t="s">
        <v>211</v>
      </c>
      <c r="AY12" s="5" t="s">
        <v>102</v>
      </c>
      <c r="AZ12" s="5" t="s">
        <v>113</v>
      </c>
      <c r="BA12" s="5" t="s">
        <v>62</v>
      </c>
      <c r="BB12" s="5" t="s">
        <v>107</v>
      </c>
      <c r="BC12" s="5" t="s">
        <v>185</v>
      </c>
      <c r="BD12" s="5" t="s">
        <v>143</v>
      </c>
      <c r="BE12" s="5">
        <v>1.56</v>
      </c>
      <c r="BF12" s="5" t="s">
        <v>107</v>
      </c>
      <c r="BG12" s="6">
        <v>1.17</v>
      </c>
      <c r="BH12" s="5" t="s">
        <v>212</v>
      </c>
      <c r="BI12" s="5" t="s">
        <v>117</v>
      </c>
      <c r="BJ12" s="5" t="s">
        <v>181</v>
      </c>
      <c r="BK12" s="5"/>
      <c r="BL12" s="5" t="s">
        <v>62</v>
      </c>
      <c r="BN12" s="2" t="str">
        <f t="shared" si="0"/>
        <v>engineer_brigade = {</v>
      </c>
      <c r="BO12" s="2" t="str">
        <f t="shared" si="62"/>
        <v xml:space="preserve">
amphibious = {
attack = 0.4
}</v>
      </c>
      <c r="BP12" s="2" t="str">
        <f t="shared" si="1"/>
        <v xml:space="preserve">
arctic = {
defence = 0.5
}</v>
      </c>
      <c r="BQ12" s="2" t="str">
        <f t="shared" si="2"/>
        <v/>
      </c>
      <c r="BR12" s="2" t="str">
        <f t="shared" si="3"/>
        <v xml:space="preserve">
desert = {
defence = 0.5
}</v>
      </c>
      <c r="BS12" s="2" t="str">
        <f t="shared" si="4"/>
        <v/>
      </c>
      <c r="BT12" s="2" t="str">
        <f t="shared" si="5"/>
        <v xml:space="preserve">
fort = {
attack = 0.40
}</v>
      </c>
      <c r="BU12" s="2" t="str">
        <f t="shared" si="6"/>
        <v xml:space="preserve">
hills = {
defence = 0.5
}</v>
      </c>
      <c r="BV12" s="2" t="str">
        <f t="shared" si="7"/>
        <v/>
      </c>
      <c r="BW12" s="2" t="str">
        <f t="shared" si="8"/>
        <v xml:space="preserve">
marsh = {
movement = 0.2
attack = 0.2
defence = 0.3
}</v>
      </c>
      <c r="BX12" s="2" t="str">
        <f t="shared" si="9"/>
        <v xml:space="preserve">
mountain = {
defence = 0.5
}</v>
      </c>
      <c r="BY12" s="2" t="str">
        <f t="shared" si="10"/>
        <v/>
      </c>
      <c r="BZ12" s="2" t="str">
        <f t="shared" si="11"/>
        <v xml:space="preserve">
plains = {
defence = 0.5
}</v>
      </c>
      <c r="CA12" s="2" t="str">
        <f t="shared" si="12"/>
        <v xml:space="preserve">
river = {
attack = 0.6
defence = 1.0
}</v>
      </c>
      <c r="CB12" s="2" t="str">
        <f t="shared" si="13"/>
        <v xml:space="preserve">
urban = {
attack = 0.4
defence = 0.6
}</v>
      </c>
      <c r="CC12" s="2" t="str">
        <f t="shared" si="14"/>
        <v/>
      </c>
      <c r="CD12" s="2" t="str">
        <f t="shared" si="15"/>
        <v>active = no</v>
      </c>
      <c r="CE12" s="2" t="str">
        <f t="shared" si="16"/>
        <v>air_attack = 0.00</v>
      </c>
      <c r="CF12" s="2" t="str">
        <f t="shared" si="17"/>
        <v>air_defence = 2.00</v>
      </c>
      <c r="CG12" s="2" t="str">
        <f t="shared" si="18"/>
        <v/>
      </c>
      <c r="CH12" s="2" t="str">
        <f t="shared" si="19"/>
        <v/>
      </c>
      <c r="CI12" s="2" t="str">
        <f t="shared" si="20"/>
        <v/>
      </c>
      <c r="CJ12" s="2" t="str">
        <f t="shared" si="21"/>
        <v/>
      </c>
      <c r="CK12" s="2" t="str">
        <f t="shared" si="22"/>
        <v>build_cost_ic = 3.33</v>
      </c>
      <c r="CL12" s="2" t="str">
        <f t="shared" si="23"/>
        <v>build_cost_manpower = 1.33</v>
      </c>
      <c r="CM12" s="2" t="str">
        <f t="shared" si="24"/>
        <v>build_time = 140</v>
      </c>
      <c r="CN12" s="2" t="str">
        <f t="shared" si="25"/>
        <v/>
      </c>
      <c r="CO12" s="2" t="str">
        <f t="shared" si="26"/>
        <v>combat_width = 0</v>
      </c>
      <c r="CP12" s="2" t="str">
        <f t="shared" si="27"/>
        <v>completion_size = 0.3</v>
      </c>
      <c r="CQ12" s="2" t="str">
        <f t="shared" si="28"/>
        <v>default_morale = 0.25</v>
      </c>
      <c r="CR12" s="2" t="str">
        <f t="shared" si="29"/>
        <v>default_organisation = 20</v>
      </c>
      <c r="CS12" s="2" t="str">
        <f t="shared" si="30"/>
        <v>defensiveness = 3.00</v>
      </c>
      <c r="CT12" s="2" t="str">
        <f t="shared" si="31"/>
        <v/>
      </c>
      <c r="CU12" s="2" t="str">
        <f t="shared" si="32"/>
        <v/>
      </c>
      <c r="CV12" s="2" t="str">
        <f t="shared" si="33"/>
        <v>fuel_consumption = 0.38</v>
      </c>
      <c r="CW12" s="2" t="str">
        <f t="shared" si="34"/>
        <v>hard_attack = 0.67</v>
      </c>
      <c r="CX12" s="2" t="str">
        <f t="shared" si="35"/>
        <v/>
      </c>
      <c r="CY12" s="2" t="str">
        <f t="shared" si="36"/>
        <v/>
      </c>
      <c r="CZ12" s="2" t="str">
        <f t="shared" si="37"/>
        <v/>
      </c>
      <c r="DA12" s="2" t="str">
        <f t="shared" si="38"/>
        <v/>
      </c>
      <c r="DB12" s="2" t="str">
        <f t="shared" si="39"/>
        <v/>
      </c>
      <c r="DC12" s="2" t="str">
        <f t="shared" si="40"/>
        <v/>
      </c>
      <c r="DD12" s="2" t="str">
        <f t="shared" si="41"/>
        <v>max_strength = 10</v>
      </c>
      <c r="DE12" s="2" t="str">
        <f t="shared" si="42"/>
        <v>maximum_speed = 5</v>
      </c>
      <c r="DF12" s="2" t="str">
        <f t="shared" si="43"/>
        <v/>
      </c>
      <c r="DG12" s="2" t="str">
        <f t="shared" si="44"/>
        <v>officers = 100</v>
      </c>
      <c r="DH12" s="2" t="str">
        <f t="shared" si="45"/>
        <v>on_completion = infantry_practical</v>
      </c>
      <c r="DI12" s="2" t="str">
        <f t="shared" si="46"/>
        <v/>
      </c>
      <c r="DJ12" s="2" t="str">
        <f t="shared" si="47"/>
        <v>priority = 2</v>
      </c>
      <c r="DK12" s="2" t="str">
        <f t="shared" si="48"/>
        <v>radio_strength = 1</v>
      </c>
      <c r="DL12" s="2" t="str">
        <f t="shared" si="49"/>
        <v>repair_cost_multiplier = 0.05</v>
      </c>
      <c r="DM12" s="2" t="str">
        <f t="shared" si="50"/>
        <v/>
      </c>
      <c r="DN12" s="2" t="str">
        <f t="shared" si="51"/>
        <v>soft_attack = 0.33</v>
      </c>
      <c r="DO12" s="2" t="str">
        <f t="shared" si="52"/>
        <v>softness = 0.90</v>
      </c>
      <c r="DP12" s="2" t="str">
        <f t="shared" si="53"/>
        <v>sprite = Infantry</v>
      </c>
      <c r="DQ12" s="2" t="str">
        <f t="shared" si="54"/>
        <v>supply_consumption = 1.56</v>
      </c>
      <c r="DR12" s="2" t="str">
        <f t="shared" si="55"/>
        <v>suppression = 0.33</v>
      </c>
      <c r="DS12" s="2" t="str">
        <f t="shared" si="56"/>
        <v>toughness = 1.17</v>
      </c>
      <c r="DT12" s="2" t="str">
        <f t="shared" si="57"/>
        <v>transport_weight = 8.00</v>
      </c>
      <c r="DU12" s="2" t="str">
        <f t="shared" si="58"/>
        <v>type = land</v>
      </c>
      <c r="DV12" s="2" t="str">
        <f t="shared" si="59"/>
        <v>unit_group = support_unit_type</v>
      </c>
      <c r="DW12" s="2" t="str">
        <f t="shared" si="60"/>
        <v/>
      </c>
      <c r="DX12" s="2" t="str">
        <f t="shared" si="61"/>
        <v/>
      </c>
      <c r="DY12" s="2" t="s">
        <v>0</v>
      </c>
      <c r="DZ12" s="2" t="str">
        <f t="shared" si="63"/>
        <v xml:space="preserve">engineer_brigade = {
amphibious = {
attack = 0.4
}
arctic = {
defence = 0.5
}
desert = {
defence = 0.5
}
fort = {
attack = 0.40
}
hills = {
defence = 0.5
}
marsh = {
movement = 0.2
attack = 0.2
defence = 0.3
}
mountain = {
defence = 0.5
}
plains = {
defence = 0.5
}
river = {
attack = 0.6
defence = 1.0
}
urban = {
attack = 0.4
defence = 0.6
}
active = no
air_attack = 0.00
air_defence = 2.00
build_cost_ic = 3.33
build_cost_manpower = 1.33
build_time = 140
combat_width = 0
completion_size = 0.3
default_morale = 0.25
default_organisation = 20
defensiveness = 3.00
fuel_consumption = 0.38
hard_attack = 0.67
max_strength = 10
maximum_speed = 5
officers = 100
on_completion = infantry_practical
priority = 2
radio_strength = 1
repair_cost_multiplier = 0.05
soft_attack = 0.33
softness = 0.90
sprite = Infantry
supply_consumption = 1.56
suppression = 0.33
toughness = 1.17
transport_weight = 8.00
type = land
unit_group = support_unit_type
}
</v>
      </c>
    </row>
    <row r="13" spans="1:130" x14ac:dyDescent="0.25">
      <c r="A13" s="2" t="str">
        <f t="shared" ca="1" si="64"/>
        <v>C:\Program Files (x86)\Paradox Interactive\Hearts of Iron III\tfh\mod\ww1tfh\units\garrison_brigade.txt</v>
      </c>
      <c r="B13" s="2" t="s">
        <v>12</v>
      </c>
      <c r="C13" s="5" t="s">
        <v>62</v>
      </c>
      <c r="D13" s="5" t="s">
        <v>62</v>
      </c>
      <c r="E13" s="5" t="s">
        <v>62</v>
      </c>
      <c r="F13" s="5" t="s">
        <v>62</v>
      </c>
      <c r="G13" s="5" t="s">
        <v>62</v>
      </c>
      <c r="H13" s="5" t="s">
        <v>62</v>
      </c>
      <c r="I13" s="5" t="s">
        <v>62</v>
      </c>
      <c r="J13" s="5" t="s">
        <v>62</v>
      </c>
      <c r="K13" s="5" t="s">
        <v>62</v>
      </c>
      <c r="L13" s="5" t="s">
        <v>62</v>
      </c>
      <c r="M13" s="5" t="s">
        <v>62</v>
      </c>
      <c r="N13" s="5" t="s">
        <v>62</v>
      </c>
      <c r="O13" s="5" t="s">
        <v>62</v>
      </c>
      <c r="P13" s="5" t="s">
        <v>62</v>
      </c>
      <c r="Q13" s="5" t="s">
        <v>62</v>
      </c>
      <c r="R13" s="5" t="s">
        <v>62</v>
      </c>
      <c r="S13" s="5" t="s">
        <v>161</v>
      </c>
      <c r="T13" s="5" t="s">
        <v>135</v>
      </c>
      <c r="U13" s="5" t="s">
        <v>213</v>
      </c>
      <c r="V13" s="5" t="s">
        <v>196</v>
      </c>
      <c r="W13" s="5" t="s">
        <v>62</v>
      </c>
      <c r="X13" s="5" t="s">
        <v>62</v>
      </c>
      <c r="Y13" s="5">
        <v>3.9</v>
      </c>
      <c r="Z13" s="5">
        <v>6.23</v>
      </c>
      <c r="AA13" s="5" t="s">
        <v>214</v>
      </c>
      <c r="AB13" s="5"/>
      <c r="AC13" s="5">
        <v>2</v>
      </c>
      <c r="AD13" s="5" t="s">
        <v>134</v>
      </c>
      <c r="AE13" s="5">
        <v>9.9999999999999992E-2</v>
      </c>
      <c r="AF13" s="5">
        <v>20</v>
      </c>
      <c r="AG13" s="5" t="s">
        <v>158</v>
      </c>
      <c r="AH13" s="5" t="s">
        <v>62</v>
      </c>
      <c r="AI13" s="5" t="s">
        <v>62</v>
      </c>
      <c r="AJ13" s="5" t="s">
        <v>106</v>
      </c>
      <c r="AK13" s="5" t="s">
        <v>107</v>
      </c>
      <c r="AL13" s="5" t="s">
        <v>62</v>
      </c>
      <c r="AM13" s="5" t="s">
        <v>62</v>
      </c>
      <c r="AN13" s="5" t="s">
        <v>62</v>
      </c>
      <c r="AO13" s="5" t="s">
        <v>62</v>
      </c>
      <c r="AP13" s="5" t="s">
        <v>62</v>
      </c>
      <c r="AQ13" s="5" t="s">
        <v>62</v>
      </c>
      <c r="AR13" s="5">
        <v>70</v>
      </c>
      <c r="AS13" s="5" t="s">
        <v>115</v>
      </c>
      <c r="AT13" s="5" t="s">
        <v>62</v>
      </c>
      <c r="AU13" s="5">
        <v>50</v>
      </c>
      <c r="AV13" s="5" t="s">
        <v>215</v>
      </c>
      <c r="AW13" s="5" t="s">
        <v>62</v>
      </c>
      <c r="AX13" s="5" t="s">
        <v>146</v>
      </c>
      <c r="AY13" s="5" t="s">
        <v>102</v>
      </c>
      <c r="AZ13" s="5" t="s">
        <v>113</v>
      </c>
      <c r="BA13" s="5" t="s">
        <v>200</v>
      </c>
      <c r="BB13" s="5" t="s">
        <v>114</v>
      </c>
      <c r="BC13" s="5" t="s">
        <v>115</v>
      </c>
      <c r="BD13" s="5" t="s">
        <v>143</v>
      </c>
      <c r="BE13" s="5">
        <v>0.37</v>
      </c>
      <c r="BF13" s="5">
        <v>4</v>
      </c>
      <c r="BG13" s="6">
        <v>0.47</v>
      </c>
      <c r="BH13" s="5">
        <v>16</v>
      </c>
      <c r="BI13" s="5" t="s">
        <v>117</v>
      </c>
      <c r="BJ13" s="5" t="s">
        <v>118</v>
      </c>
      <c r="BK13" s="5"/>
      <c r="BL13" s="5" t="s">
        <v>62</v>
      </c>
      <c r="BN13" s="2" t="str">
        <f t="shared" si="0"/>
        <v>garrison_brigade = {</v>
      </c>
      <c r="BO13" s="2" t="str">
        <f t="shared" si="62"/>
        <v/>
      </c>
      <c r="BP13" s="2" t="str">
        <f t="shared" si="1"/>
        <v/>
      </c>
      <c r="BQ13" s="2" t="str">
        <f t="shared" si="2"/>
        <v/>
      </c>
      <c r="BR13" s="2" t="str">
        <f t="shared" si="3"/>
        <v/>
      </c>
      <c r="BS13" s="2" t="str">
        <f t="shared" si="4"/>
        <v/>
      </c>
      <c r="BT13" s="2" t="str">
        <f t="shared" si="5"/>
        <v/>
      </c>
      <c r="BU13" s="2" t="str">
        <f t="shared" si="6"/>
        <v/>
      </c>
      <c r="BV13" s="2" t="str">
        <f t="shared" si="7"/>
        <v/>
      </c>
      <c r="BW13" s="2" t="str">
        <f t="shared" si="8"/>
        <v/>
      </c>
      <c r="BX13" s="2" t="str">
        <f t="shared" si="9"/>
        <v/>
      </c>
      <c r="BY13" s="2" t="str">
        <f t="shared" si="10"/>
        <v/>
      </c>
      <c r="BZ13" s="2" t="str">
        <f t="shared" si="11"/>
        <v/>
      </c>
      <c r="CA13" s="2" t="str">
        <f t="shared" si="12"/>
        <v/>
      </c>
      <c r="CB13" s="2" t="str">
        <f t="shared" si="13"/>
        <v/>
      </c>
      <c r="CC13" s="2" t="str">
        <f t="shared" si="14"/>
        <v/>
      </c>
      <c r="CD13" s="2" t="str">
        <f t="shared" si="15"/>
        <v/>
      </c>
      <c r="CE13" s="2" t="str">
        <f t="shared" si="16"/>
        <v>air_attack = 0.15</v>
      </c>
      <c r="CF13" s="2" t="str">
        <f t="shared" si="17"/>
        <v>air_defence = 2.00</v>
      </c>
      <c r="CG13" s="2" t="str">
        <f t="shared" si="18"/>
        <v>amphibious = { attack = -0.20 }</v>
      </c>
      <c r="CH13" s="2" t="str">
        <f t="shared" si="19"/>
        <v>ap_attack = 0.5</v>
      </c>
      <c r="CI13" s="2" t="str">
        <f t="shared" si="20"/>
        <v/>
      </c>
      <c r="CJ13" s="2" t="str">
        <f t="shared" si="21"/>
        <v/>
      </c>
      <c r="CK13" s="2" t="str">
        <f t="shared" si="22"/>
        <v>build_cost_ic = 3.9</v>
      </c>
      <c r="CL13" s="2" t="str">
        <f t="shared" si="23"/>
        <v>build_cost_manpower = 6.23</v>
      </c>
      <c r="CM13" s="2" t="str">
        <f t="shared" si="24"/>
        <v>build_time = 60</v>
      </c>
      <c r="CN13" s="2" t="str">
        <f t="shared" si="25"/>
        <v/>
      </c>
      <c r="CO13" s="2" t="str">
        <f t="shared" si="26"/>
        <v>combat_width = 2</v>
      </c>
      <c r="CP13" s="2" t="str">
        <f t="shared" si="27"/>
        <v>completion_size = 0.2</v>
      </c>
      <c r="CQ13" s="2" t="str">
        <f t="shared" si="28"/>
        <v>default_morale = 0.1</v>
      </c>
      <c r="CR13" s="2" t="str">
        <f t="shared" si="29"/>
        <v>default_organisation = 20</v>
      </c>
      <c r="CS13" s="2" t="str">
        <f t="shared" si="30"/>
        <v>defensiveness = 3.50</v>
      </c>
      <c r="CT13" s="2" t="str">
        <f t="shared" si="31"/>
        <v/>
      </c>
      <c r="CU13" s="2" t="str">
        <f t="shared" si="32"/>
        <v/>
      </c>
      <c r="CV13" s="2" t="str">
        <f t="shared" si="33"/>
        <v>fuel_consumption = 0.00</v>
      </c>
      <c r="CW13" s="2" t="str">
        <f t="shared" si="34"/>
        <v>hard_attack = 0.33</v>
      </c>
      <c r="CX13" s="2" t="str">
        <f t="shared" si="35"/>
        <v/>
      </c>
      <c r="CY13" s="2" t="str">
        <f t="shared" si="36"/>
        <v/>
      </c>
      <c r="CZ13" s="2" t="str">
        <f t="shared" si="37"/>
        <v/>
      </c>
      <c r="DA13" s="2" t="str">
        <f t="shared" si="38"/>
        <v/>
      </c>
      <c r="DB13" s="2" t="str">
        <f t="shared" si="39"/>
        <v/>
      </c>
      <c r="DC13" s="2" t="str">
        <f t="shared" si="40"/>
        <v/>
      </c>
      <c r="DD13" s="2" t="str">
        <f t="shared" si="41"/>
        <v>max_strength = 70</v>
      </c>
      <c r="DE13" s="2" t="str">
        <f t="shared" si="42"/>
        <v>maximum_speed = 1.00</v>
      </c>
      <c r="DF13" s="2" t="str">
        <f t="shared" si="43"/>
        <v/>
      </c>
      <c r="DG13" s="2" t="str">
        <f t="shared" si="44"/>
        <v>officers = 50</v>
      </c>
      <c r="DH13" s="2" t="str">
        <f t="shared" si="45"/>
        <v>on_completion = militia_practical</v>
      </c>
      <c r="DI13" s="2" t="str">
        <f t="shared" si="46"/>
        <v/>
      </c>
      <c r="DJ13" s="2" t="str">
        <f t="shared" si="47"/>
        <v>priority = 5</v>
      </c>
      <c r="DK13" s="2" t="str">
        <f t="shared" si="48"/>
        <v>radio_strength = 1</v>
      </c>
      <c r="DL13" s="2" t="str">
        <f t="shared" si="49"/>
        <v>repair_cost_multiplier = 0.05</v>
      </c>
      <c r="DM13" s="2" t="str">
        <f t="shared" si="50"/>
        <v>river = { attack = -0.10 }</v>
      </c>
      <c r="DN13" s="2" t="str">
        <f t="shared" si="51"/>
        <v>soft_attack = 1.67</v>
      </c>
      <c r="DO13" s="2" t="str">
        <f t="shared" si="52"/>
        <v>softness = 1.00</v>
      </c>
      <c r="DP13" s="2" t="str">
        <f t="shared" si="53"/>
        <v>sprite = Infantry</v>
      </c>
      <c r="DQ13" s="2" t="str">
        <f t="shared" si="54"/>
        <v>supply_consumption = 0.37</v>
      </c>
      <c r="DR13" s="2" t="str">
        <f t="shared" si="55"/>
        <v>suppression = 4</v>
      </c>
      <c r="DS13" s="2" t="str">
        <f t="shared" si="56"/>
        <v>toughness = 0.47</v>
      </c>
      <c r="DT13" s="2" t="str">
        <f t="shared" si="57"/>
        <v>transport_weight = 16</v>
      </c>
      <c r="DU13" s="2" t="str">
        <f t="shared" si="58"/>
        <v>type = land</v>
      </c>
      <c r="DV13" s="2" t="str">
        <f t="shared" si="59"/>
        <v>unit_group = infantry_unit_type</v>
      </c>
      <c r="DW13" s="2" t="str">
        <f t="shared" si="60"/>
        <v/>
      </c>
      <c r="DX13" s="2" t="str">
        <f t="shared" si="61"/>
        <v/>
      </c>
      <c r="DY13" s="2" t="s">
        <v>0</v>
      </c>
      <c r="DZ13" s="2" t="str">
        <f t="shared" si="63"/>
        <v xml:space="preserve">garrison_brigade = {
air_attack = 0.15
air_defence = 2.00
amphibious = { attack = -0.20 }
ap_attack = 0.5
build_cost_ic = 3.9
build_cost_manpower = 6.23
build_time = 60
combat_width = 2
completion_size = 0.2
default_morale = 0.1
default_organisation = 20
defensiveness = 3.50
fuel_consumption = 0.00
hard_attack = 0.33
max_strength = 70
maximum_speed = 1.00
officers = 50
on_completion = militia_practical
priority = 5
radio_strength = 1
repair_cost_multiplier = 0.05
river = { attack = -0.10 }
soft_attack = 1.67
softness = 1.00
sprite = Infantry
supply_consumption = 0.37
suppression = 4
toughness = 0.47
transport_weight = 16
type = land
unit_group = infantry_unit_type
}
</v>
      </c>
    </row>
    <row r="14" spans="1:130" x14ac:dyDescent="0.25">
      <c r="A14" s="2" t="str">
        <f t="shared" ca="1" si="64"/>
        <v>C:\Program Files (x86)\Paradox Interactive\Hearts of Iron III\tfh\mod\ww1tfh\units\Guards_brigade.txt</v>
      </c>
      <c r="B14" s="2" t="s">
        <v>13</v>
      </c>
      <c r="C14" s="5" t="s">
        <v>62</v>
      </c>
      <c r="D14" s="5" t="s">
        <v>62</v>
      </c>
      <c r="E14" s="5" t="s">
        <v>62</v>
      </c>
      <c r="F14" s="5" t="s">
        <v>62</v>
      </c>
      <c r="G14" s="5" t="s">
        <v>62</v>
      </c>
      <c r="H14" s="5" t="s">
        <v>62</v>
      </c>
      <c r="I14" s="5" t="s">
        <v>62</v>
      </c>
      <c r="J14" s="5" t="s">
        <v>62</v>
      </c>
      <c r="K14" s="5" t="s">
        <v>62</v>
      </c>
      <c r="L14" s="5" t="s">
        <v>62</v>
      </c>
      <c r="M14" s="5" t="s">
        <v>62</v>
      </c>
      <c r="N14" s="5" t="s">
        <v>62</v>
      </c>
      <c r="O14" s="5" t="s">
        <v>62</v>
      </c>
      <c r="P14" s="5" t="s">
        <v>62</v>
      </c>
      <c r="Q14" s="5" t="s">
        <v>62</v>
      </c>
      <c r="R14" s="5" t="s">
        <v>62</v>
      </c>
      <c r="S14" s="5" t="s">
        <v>107</v>
      </c>
      <c r="T14" s="5" t="s">
        <v>135</v>
      </c>
      <c r="U14" s="5" t="s">
        <v>62</v>
      </c>
      <c r="V14" s="5" t="s">
        <v>102</v>
      </c>
      <c r="W14" s="5" t="s">
        <v>62</v>
      </c>
      <c r="X14" s="5" t="s">
        <v>62</v>
      </c>
      <c r="Y14" s="5">
        <v>6.23</v>
      </c>
      <c r="Z14" s="5">
        <v>7</v>
      </c>
      <c r="AA14" s="5" t="s">
        <v>216</v>
      </c>
      <c r="AB14" s="5"/>
      <c r="AC14" s="5">
        <v>2</v>
      </c>
      <c r="AD14" s="5" t="s">
        <v>134</v>
      </c>
      <c r="AE14" s="5">
        <v>0.54999999999999993</v>
      </c>
      <c r="AF14" s="5">
        <v>35</v>
      </c>
      <c r="AG14" s="5" t="s">
        <v>129</v>
      </c>
      <c r="AH14" s="5" t="s">
        <v>62</v>
      </c>
      <c r="AI14" s="5" t="s">
        <v>62</v>
      </c>
      <c r="AJ14" s="5" t="s">
        <v>106</v>
      </c>
      <c r="AK14" s="5" t="s">
        <v>191</v>
      </c>
      <c r="AL14" s="5" t="s">
        <v>62</v>
      </c>
      <c r="AM14" s="5" t="s">
        <v>62</v>
      </c>
      <c r="AN14" s="5" t="s">
        <v>62</v>
      </c>
      <c r="AO14" s="5" t="s">
        <v>62</v>
      </c>
      <c r="AP14" s="5" t="s">
        <v>62</v>
      </c>
      <c r="AQ14" s="5" t="s">
        <v>108</v>
      </c>
      <c r="AR14" s="5">
        <v>70</v>
      </c>
      <c r="AS14" s="5" t="s">
        <v>105</v>
      </c>
      <c r="AT14" s="5" t="s">
        <v>110</v>
      </c>
      <c r="AU14" s="5">
        <v>200</v>
      </c>
      <c r="AV14" s="5" t="s">
        <v>111</v>
      </c>
      <c r="AW14" s="5" t="s">
        <v>62</v>
      </c>
      <c r="AX14" s="5" t="s">
        <v>112</v>
      </c>
      <c r="AY14" s="5" t="s">
        <v>102</v>
      </c>
      <c r="AZ14" s="5" t="s">
        <v>113</v>
      </c>
      <c r="BA14" s="5" t="s">
        <v>62</v>
      </c>
      <c r="BB14" s="5" t="s">
        <v>135</v>
      </c>
      <c r="BC14" s="5" t="s">
        <v>115</v>
      </c>
      <c r="BD14" s="5" t="s">
        <v>116</v>
      </c>
      <c r="BE14" s="5">
        <v>1.56</v>
      </c>
      <c r="BF14" s="5">
        <v>2</v>
      </c>
      <c r="BG14" s="6">
        <v>2.8</v>
      </c>
      <c r="BH14" s="5">
        <v>20</v>
      </c>
      <c r="BI14" s="5" t="s">
        <v>117</v>
      </c>
      <c r="BJ14" s="5" t="s">
        <v>118</v>
      </c>
      <c r="BK14" s="5"/>
      <c r="BL14" s="5" t="s">
        <v>91</v>
      </c>
      <c r="BN14" s="2" t="str">
        <f t="shared" si="0"/>
        <v>guards_brigade = {</v>
      </c>
      <c r="BO14" s="2" t="str">
        <f t="shared" si="62"/>
        <v/>
      </c>
      <c r="BP14" s="2" t="str">
        <f t="shared" si="1"/>
        <v/>
      </c>
      <c r="BQ14" s="2" t="str">
        <f t="shared" si="2"/>
        <v/>
      </c>
      <c r="BR14" s="2" t="str">
        <f t="shared" si="3"/>
        <v/>
      </c>
      <c r="BS14" s="2" t="str">
        <f t="shared" si="4"/>
        <v/>
      </c>
      <c r="BT14" s="2" t="str">
        <f t="shared" si="5"/>
        <v/>
      </c>
      <c r="BU14" s="2" t="str">
        <f t="shared" si="6"/>
        <v/>
      </c>
      <c r="BV14" s="2" t="str">
        <f t="shared" si="7"/>
        <v/>
      </c>
      <c r="BW14" s="2" t="str">
        <f t="shared" si="8"/>
        <v/>
      </c>
      <c r="BX14" s="2" t="str">
        <f t="shared" si="9"/>
        <v/>
      </c>
      <c r="BY14" s="2" t="str">
        <f t="shared" si="10"/>
        <v/>
      </c>
      <c r="BZ14" s="2" t="str">
        <f t="shared" si="11"/>
        <v/>
      </c>
      <c r="CA14" s="2" t="str">
        <f t="shared" si="12"/>
        <v/>
      </c>
      <c r="CB14" s="2" t="str">
        <f t="shared" si="13"/>
        <v/>
      </c>
      <c r="CC14" s="2" t="str">
        <f t="shared" si="14"/>
        <v/>
      </c>
      <c r="CD14" s="2" t="str">
        <f t="shared" si="15"/>
        <v/>
      </c>
      <c r="CE14" s="2" t="str">
        <f t="shared" si="16"/>
        <v>air_attack = 0.33</v>
      </c>
      <c r="CF14" s="2" t="str">
        <f t="shared" si="17"/>
        <v>air_defence = 2.00</v>
      </c>
      <c r="CG14" s="2" t="str">
        <f t="shared" si="18"/>
        <v/>
      </c>
      <c r="CH14" s="2" t="str">
        <f t="shared" si="19"/>
        <v>ap_attack = 1</v>
      </c>
      <c r="CI14" s="2" t="str">
        <f t="shared" si="20"/>
        <v/>
      </c>
      <c r="CJ14" s="2" t="str">
        <f t="shared" si="21"/>
        <v/>
      </c>
      <c r="CK14" s="2" t="str">
        <f t="shared" si="22"/>
        <v>build_cost_ic = 6.23</v>
      </c>
      <c r="CL14" s="2" t="str">
        <f t="shared" si="23"/>
        <v>build_cost_manpower = 7</v>
      </c>
      <c r="CM14" s="2" t="str">
        <f t="shared" si="24"/>
        <v>build_time = 120</v>
      </c>
      <c r="CN14" s="2" t="str">
        <f t="shared" si="25"/>
        <v/>
      </c>
      <c r="CO14" s="2" t="str">
        <f t="shared" si="26"/>
        <v>combat_width = 2</v>
      </c>
      <c r="CP14" s="2" t="str">
        <f t="shared" si="27"/>
        <v>completion_size = 0.2</v>
      </c>
      <c r="CQ14" s="2" t="str">
        <f t="shared" si="28"/>
        <v>default_morale = 0.55</v>
      </c>
      <c r="CR14" s="2" t="str">
        <f t="shared" si="29"/>
        <v>default_organisation = 35</v>
      </c>
      <c r="CS14" s="2" t="str">
        <f t="shared" si="30"/>
        <v>defensiveness = 5.00</v>
      </c>
      <c r="CT14" s="2" t="str">
        <f t="shared" si="31"/>
        <v/>
      </c>
      <c r="CU14" s="2" t="str">
        <f t="shared" si="32"/>
        <v/>
      </c>
      <c r="CV14" s="2" t="str">
        <f t="shared" si="33"/>
        <v>fuel_consumption = 0.00</v>
      </c>
      <c r="CW14" s="2" t="str">
        <f t="shared" si="34"/>
        <v>hard_attack = 0.67</v>
      </c>
      <c r="CX14" s="2" t="str">
        <f t="shared" si="35"/>
        <v/>
      </c>
      <c r="CY14" s="2" t="str">
        <f t="shared" si="36"/>
        <v/>
      </c>
      <c r="CZ14" s="2" t="str">
        <f t="shared" si="37"/>
        <v/>
      </c>
      <c r="DA14" s="2" t="str">
        <f t="shared" si="38"/>
        <v/>
      </c>
      <c r="DB14" s="2" t="str">
        <f t="shared" si="39"/>
        <v/>
      </c>
      <c r="DC14" s="2" t="str">
        <f t="shared" si="40"/>
        <v>max_percentage_of_type = 0.04</v>
      </c>
      <c r="DD14" s="2" t="str">
        <f t="shared" si="41"/>
        <v>max_strength = 70</v>
      </c>
      <c r="DE14" s="2" t="str">
        <f t="shared" si="42"/>
        <v>maximum_speed = 4.00</v>
      </c>
      <c r="DF14" s="2" t="str">
        <f t="shared" si="43"/>
        <v>minimum_of_type = 6</v>
      </c>
      <c r="DG14" s="2" t="str">
        <f t="shared" si="44"/>
        <v>officers = 200</v>
      </c>
      <c r="DH14" s="2" t="str">
        <f t="shared" si="45"/>
        <v>on_completion = infantry_practical</v>
      </c>
      <c r="DI14" s="2" t="str">
        <f t="shared" si="46"/>
        <v/>
      </c>
      <c r="DJ14" s="2" t="str">
        <f t="shared" si="47"/>
        <v>priority = 9</v>
      </c>
      <c r="DK14" s="2" t="str">
        <f t="shared" si="48"/>
        <v>radio_strength = 1</v>
      </c>
      <c r="DL14" s="2" t="str">
        <f t="shared" si="49"/>
        <v>repair_cost_multiplier = 0.05</v>
      </c>
      <c r="DM14" s="2" t="str">
        <f t="shared" si="50"/>
        <v/>
      </c>
      <c r="DN14" s="2" t="str">
        <f t="shared" si="51"/>
        <v>soft_attack = 2.00</v>
      </c>
      <c r="DO14" s="2" t="str">
        <f t="shared" si="52"/>
        <v>softness = 1.00</v>
      </c>
      <c r="DP14" s="2" t="str">
        <f t="shared" si="53"/>
        <v>sprite = Elite</v>
      </c>
      <c r="DQ14" s="2" t="str">
        <f t="shared" si="54"/>
        <v>supply_consumption = 1.56</v>
      </c>
      <c r="DR14" s="2" t="str">
        <f t="shared" si="55"/>
        <v>suppression = 2</v>
      </c>
      <c r="DS14" s="2" t="str">
        <f t="shared" si="56"/>
        <v>toughness = 2.8</v>
      </c>
      <c r="DT14" s="2" t="str">
        <f t="shared" si="57"/>
        <v>transport_weight = 20</v>
      </c>
      <c r="DU14" s="2" t="str">
        <f t="shared" si="58"/>
        <v>type = land</v>
      </c>
      <c r="DV14" s="2" t="str">
        <f t="shared" si="59"/>
        <v>unit_group = infantry_unit_type</v>
      </c>
      <c r="DW14" s="2" t="str">
        <f t="shared" si="60"/>
        <v/>
      </c>
      <c r="DX14" s="2" t="str">
        <f t="shared" si="61"/>
        <v>usable_by = { RUS SOV WHR }</v>
      </c>
      <c r="DY14" s="2" t="s">
        <v>0</v>
      </c>
      <c r="DZ14" s="2" t="str">
        <f t="shared" si="63"/>
        <v xml:space="preserve">guards_brigade = {
air_attack = 0.33
air_defence = 2.00
ap_attack = 1
build_cost_ic = 6.23
build_cost_manpower = 7
build_time = 120
combat_width = 2
completion_size = 0.2
default_morale = 0.55
default_organisation = 35
defensiveness = 5.00
fuel_consumption = 0.00
hard_attack = 0.67
max_percentage_of_type = 0.04
max_strength = 70
maximum_speed = 4.00
minimum_of_type = 6
officers = 200
on_completion = infantry_practical
priority = 9
radio_strength = 1
repair_cost_multiplier = 0.05
soft_attack = 2.00
softness = 1.00
sprite = Elite
supply_consumption = 1.56
suppression = 2
toughness = 2.8
transport_weight = 20
type = land
unit_group = infantry_unit_type
usable_by = { RUS SOV WHR }
}
</v>
      </c>
    </row>
    <row r="15" spans="1:130" x14ac:dyDescent="0.25">
      <c r="A15" s="2" t="str">
        <f t="shared" ca="1" si="64"/>
        <v>C:\Program Files (x86)\Paradox Interactive\Hearts of Iron III\tfh\mod\ww1tfh\units\Gurkha_brigade.txt</v>
      </c>
      <c r="B15" s="2" t="s">
        <v>14</v>
      </c>
      <c r="C15" s="5" t="s">
        <v>62</v>
      </c>
      <c r="D15" s="5" t="s">
        <v>193</v>
      </c>
      <c r="E15" s="5" t="s">
        <v>62</v>
      </c>
      <c r="F15" s="5" t="s">
        <v>62</v>
      </c>
      <c r="G15" s="5" t="s">
        <v>217</v>
      </c>
      <c r="H15" s="5" t="s">
        <v>62</v>
      </c>
      <c r="I15" s="5" t="s">
        <v>218</v>
      </c>
      <c r="J15" s="5" t="s">
        <v>219</v>
      </c>
      <c r="K15" s="5" t="s">
        <v>62</v>
      </c>
      <c r="L15" s="5" t="s">
        <v>220</v>
      </c>
      <c r="M15" s="5" t="s">
        <v>62</v>
      </c>
      <c r="N15" s="5" t="s">
        <v>62</v>
      </c>
      <c r="O15" s="5" t="s">
        <v>62</v>
      </c>
      <c r="P15" s="5" t="s">
        <v>62</v>
      </c>
      <c r="Q15" s="5" t="s">
        <v>221</v>
      </c>
      <c r="R15" s="5" t="s">
        <v>62</v>
      </c>
      <c r="S15" s="5" t="s">
        <v>100</v>
      </c>
      <c r="T15" s="5" t="s">
        <v>101</v>
      </c>
      <c r="U15" s="5" t="s">
        <v>62</v>
      </c>
      <c r="V15" s="5" t="s">
        <v>102</v>
      </c>
      <c r="W15" s="5" t="s">
        <v>62</v>
      </c>
      <c r="X15" s="5" t="s">
        <v>62</v>
      </c>
      <c r="Y15" s="5">
        <v>6.23</v>
      </c>
      <c r="Z15" s="5">
        <v>9.33</v>
      </c>
      <c r="AA15" s="5" t="s">
        <v>190</v>
      </c>
      <c r="AB15" s="5"/>
      <c r="AC15" s="5">
        <v>2</v>
      </c>
      <c r="AD15" s="5" t="s">
        <v>104</v>
      </c>
      <c r="AE15" s="5">
        <v>0.4</v>
      </c>
      <c r="AF15" s="5">
        <v>40</v>
      </c>
      <c r="AG15" s="5" t="s">
        <v>105</v>
      </c>
      <c r="AH15" s="5" t="s">
        <v>62</v>
      </c>
      <c r="AI15" s="5" t="s">
        <v>62</v>
      </c>
      <c r="AJ15" s="5" t="s">
        <v>106</v>
      </c>
      <c r="AK15" s="5" t="s">
        <v>107</v>
      </c>
      <c r="AL15" s="5" t="s">
        <v>62</v>
      </c>
      <c r="AM15" s="5" t="s">
        <v>62</v>
      </c>
      <c r="AN15" s="5" t="s">
        <v>62</v>
      </c>
      <c r="AO15" s="5" t="s">
        <v>62</v>
      </c>
      <c r="AP15" s="5" t="s">
        <v>62</v>
      </c>
      <c r="AQ15" s="5" t="s">
        <v>108</v>
      </c>
      <c r="AR15" s="5">
        <v>70</v>
      </c>
      <c r="AS15" s="5" t="s">
        <v>109</v>
      </c>
      <c r="AT15" s="5" t="s">
        <v>110</v>
      </c>
      <c r="AU15" s="5">
        <v>250</v>
      </c>
      <c r="AV15" s="5" t="s">
        <v>111</v>
      </c>
      <c r="AW15" s="5" t="s">
        <v>62</v>
      </c>
      <c r="AX15" s="5" t="s">
        <v>112</v>
      </c>
      <c r="AY15" s="5" t="s">
        <v>102</v>
      </c>
      <c r="AZ15" s="5" t="s">
        <v>113</v>
      </c>
      <c r="BA15" s="5" t="s">
        <v>62</v>
      </c>
      <c r="BB15" s="5" t="s">
        <v>114</v>
      </c>
      <c r="BC15" s="5" t="s">
        <v>115</v>
      </c>
      <c r="BD15" s="5" t="s">
        <v>116</v>
      </c>
      <c r="BE15" s="5">
        <v>1.56</v>
      </c>
      <c r="BF15" s="5">
        <v>1.34</v>
      </c>
      <c r="BG15" s="6">
        <v>2.33</v>
      </c>
      <c r="BH15" s="5">
        <v>10</v>
      </c>
      <c r="BI15" s="5" t="s">
        <v>117</v>
      </c>
      <c r="BJ15" s="5" t="s">
        <v>118</v>
      </c>
      <c r="BK15" s="5"/>
      <c r="BL15" s="5" t="s">
        <v>222</v>
      </c>
      <c r="BN15" s="2" t="str">
        <f t="shared" si="0"/>
        <v>gurkha_brigade = {</v>
      </c>
      <c r="BO15" s="2" t="str">
        <f t="shared" si="62"/>
        <v/>
      </c>
      <c r="BP15" s="2" t="str">
        <f t="shared" si="1"/>
        <v xml:space="preserve">
arctic = {
attack = 0.50
defence = 0.20
movement = 0.20
}</v>
      </c>
      <c r="BQ15" s="2" t="str">
        <f t="shared" si="2"/>
        <v/>
      </c>
      <c r="BR15" s="2" t="str">
        <f t="shared" si="3"/>
        <v/>
      </c>
      <c r="BS15" s="2" t="str">
        <f t="shared" si="4"/>
        <v xml:space="preserve">
forest = {
attack = 0.15
movement = 0.10
}</v>
      </c>
      <c r="BT15" s="2" t="str">
        <f t="shared" si="5"/>
        <v/>
      </c>
      <c r="BU15" s="2" t="str">
        <f t="shared" si="6"/>
        <v xml:space="preserve">
hills = {
attack = 0.50
defence = 0.10
movement = 0.15
}</v>
      </c>
      <c r="BV15" s="2" t="str">
        <f t="shared" si="7"/>
        <v xml:space="preserve">
jungle = {
attack = 0.20
movement = 0.10
}</v>
      </c>
      <c r="BW15" s="2" t="str">
        <f t="shared" si="8"/>
        <v/>
      </c>
      <c r="BX15" s="2" t="str">
        <f t="shared" si="9"/>
        <v xml:space="preserve">
mountain = {
attack = 0.60
defence = 0.20
movement = 0.15
}</v>
      </c>
      <c r="BY15" s="2" t="str">
        <f t="shared" si="10"/>
        <v/>
      </c>
      <c r="BZ15" s="2" t="str">
        <f t="shared" si="11"/>
        <v/>
      </c>
      <c r="CA15" s="2" t="str">
        <f t="shared" si="12"/>
        <v/>
      </c>
      <c r="CB15" s="2" t="str">
        <f t="shared" si="13"/>
        <v/>
      </c>
      <c r="CC15" s="2" t="str">
        <f t="shared" si="14"/>
        <v xml:space="preserve">
woods = {
attack = 0.1
movement = 0.05
}</v>
      </c>
      <c r="CD15" s="2" t="str">
        <f t="shared" si="15"/>
        <v/>
      </c>
      <c r="CE15" s="2" t="str">
        <f t="shared" si="16"/>
        <v>air_attack = 0.10</v>
      </c>
      <c r="CF15" s="2" t="str">
        <f t="shared" si="17"/>
        <v>air_defence = 2.50</v>
      </c>
      <c r="CG15" s="2" t="str">
        <f t="shared" si="18"/>
        <v/>
      </c>
      <c r="CH15" s="2" t="str">
        <f t="shared" si="19"/>
        <v>ap_attack = 1</v>
      </c>
      <c r="CI15" s="2" t="str">
        <f t="shared" si="20"/>
        <v/>
      </c>
      <c r="CJ15" s="2" t="str">
        <f t="shared" si="21"/>
        <v/>
      </c>
      <c r="CK15" s="2" t="str">
        <f t="shared" si="22"/>
        <v>build_cost_ic = 6.23</v>
      </c>
      <c r="CL15" s="2" t="str">
        <f t="shared" si="23"/>
        <v>build_cost_manpower = 9.33</v>
      </c>
      <c r="CM15" s="2" t="str">
        <f t="shared" si="24"/>
        <v>build_time = 150</v>
      </c>
      <c r="CN15" s="2" t="str">
        <f t="shared" si="25"/>
        <v/>
      </c>
      <c r="CO15" s="2" t="str">
        <f t="shared" si="26"/>
        <v>combat_width = 2</v>
      </c>
      <c r="CP15" s="2" t="str">
        <f t="shared" si="27"/>
        <v>completion_size = 0.3</v>
      </c>
      <c r="CQ15" s="2" t="str">
        <f t="shared" si="28"/>
        <v>default_morale = 0.4</v>
      </c>
      <c r="CR15" s="2" t="str">
        <f t="shared" si="29"/>
        <v>default_organisation = 40</v>
      </c>
      <c r="CS15" s="2" t="str">
        <f t="shared" si="30"/>
        <v>defensiveness = 4.00</v>
      </c>
      <c r="CT15" s="2" t="str">
        <f t="shared" si="31"/>
        <v/>
      </c>
      <c r="CU15" s="2" t="str">
        <f t="shared" si="32"/>
        <v/>
      </c>
      <c r="CV15" s="2" t="str">
        <f t="shared" si="33"/>
        <v>fuel_consumption = 0.00</v>
      </c>
      <c r="CW15" s="2" t="str">
        <f t="shared" si="34"/>
        <v>hard_attack = 0.33</v>
      </c>
      <c r="CX15" s="2" t="str">
        <f t="shared" si="35"/>
        <v/>
      </c>
      <c r="CY15" s="2" t="str">
        <f t="shared" si="36"/>
        <v/>
      </c>
      <c r="CZ15" s="2" t="str">
        <f t="shared" si="37"/>
        <v/>
      </c>
      <c r="DA15" s="2" t="str">
        <f t="shared" si="38"/>
        <v/>
      </c>
      <c r="DB15" s="2" t="str">
        <f t="shared" si="39"/>
        <v/>
      </c>
      <c r="DC15" s="2" t="str">
        <f t="shared" si="40"/>
        <v>max_percentage_of_type = 0.04</v>
      </c>
      <c r="DD15" s="2" t="str">
        <f t="shared" si="41"/>
        <v>max_strength = 70</v>
      </c>
      <c r="DE15" s="2" t="str">
        <f t="shared" si="42"/>
        <v>maximum_speed = 4.33</v>
      </c>
      <c r="DF15" s="2" t="str">
        <f t="shared" si="43"/>
        <v>minimum_of_type = 6</v>
      </c>
      <c r="DG15" s="2" t="str">
        <f t="shared" si="44"/>
        <v>officers = 250</v>
      </c>
      <c r="DH15" s="2" t="str">
        <f t="shared" si="45"/>
        <v>on_completion = infantry_practical</v>
      </c>
      <c r="DI15" s="2" t="str">
        <f t="shared" si="46"/>
        <v/>
      </c>
      <c r="DJ15" s="2" t="str">
        <f t="shared" si="47"/>
        <v>priority = 9</v>
      </c>
      <c r="DK15" s="2" t="str">
        <f t="shared" si="48"/>
        <v>radio_strength = 1</v>
      </c>
      <c r="DL15" s="2" t="str">
        <f t="shared" si="49"/>
        <v>repair_cost_multiplier = 0.05</v>
      </c>
      <c r="DM15" s="2" t="str">
        <f t="shared" si="50"/>
        <v/>
      </c>
      <c r="DN15" s="2" t="str">
        <f t="shared" si="51"/>
        <v>soft_attack = 1.67</v>
      </c>
      <c r="DO15" s="2" t="str">
        <f t="shared" si="52"/>
        <v>softness = 1.00</v>
      </c>
      <c r="DP15" s="2" t="str">
        <f t="shared" si="53"/>
        <v>sprite = Elite</v>
      </c>
      <c r="DQ15" s="2" t="str">
        <f t="shared" si="54"/>
        <v>supply_consumption = 1.56</v>
      </c>
      <c r="DR15" s="2" t="str">
        <f t="shared" si="55"/>
        <v>suppression = 1.34</v>
      </c>
      <c r="DS15" s="2" t="str">
        <f t="shared" si="56"/>
        <v>toughness = 2.33</v>
      </c>
      <c r="DT15" s="2" t="str">
        <f t="shared" si="57"/>
        <v>transport_weight = 10</v>
      </c>
      <c r="DU15" s="2" t="str">
        <f t="shared" si="58"/>
        <v>type = land</v>
      </c>
      <c r="DV15" s="2" t="str">
        <f t="shared" si="59"/>
        <v>unit_group = infantry_unit_type</v>
      </c>
      <c r="DW15" s="2" t="str">
        <f t="shared" si="60"/>
        <v/>
      </c>
      <c r="DX15" s="2" t="str">
        <f t="shared" si="61"/>
        <v>usable_by = { ENG NEP }</v>
      </c>
      <c r="DY15" s="2" t="s">
        <v>0</v>
      </c>
      <c r="DZ15" s="2" t="str">
        <f t="shared" si="63"/>
        <v xml:space="preserve">gurkha_brigade = {
arctic = {
attack = 0.50
defence = 0.20
movement = 0.20
}
forest = {
attack = 0.15
movement = 0.10
}
hills = {
attack = 0.50
defence = 0.10
movement = 0.15
}
jungle = {
attack = 0.20
movement = 0.10
}
mountain = {
attack = 0.60
defence = 0.20
movement = 0.15
}
woods = {
attack = 0.1
movement = 0.05
}
air_attack = 0.10
air_defence = 2.50
ap_attack = 1
build_cost_ic = 6.23
build_cost_manpower = 9.33
build_time = 150
combat_width = 2
completion_size = 0.3
default_morale = 0.4
default_organisation = 40
defensiveness = 4.00
fuel_consumption = 0.00
hard_attack = 0.33
max_percentage_of_type = 0.04
max_strength = 70
maximum_speed = 4.33
minimum_of_type = 6
officers = 250
on_completion = infantry_practical
priority = 9
radio_strength = 1
repair_cost_multiplier = 0.05
soft_attack = 1.67
softness = 1.00
sprite = Elite
supply_consumption = 1.56
suppression = 1.34
toughness = 2.33
transport_weight = 10
type = land
unit_group = infantry_unit_type
usable_by = { ENG NEP }
}
</v>
      </c>
    </row>
    <row r="16" spans="1:130" x14ac:dyDescent="0.25">
      <c r="A16" s="2" t="str">
        <f t="shared" ca="1" si="64"/>
        <v>C:\Program Files (x86)\Paradox Interactive\Hearts of Iron III\tfh\mod\ww1tfh\units\hq_brigade.txt</v>
      </c>
      <c r="B16" s="2" t="s">
        <v>15</v>
      </c>
      <c r="C16" s="5" t="s">
        <v>62</v>
      </c>
      <c r="D16" s="5" t="s">
        <v>62</v>
      </c>
      <c r="E16" s="5" t="s">
        <v>62</v>
      </c>
      <c r="F16" s="5" t="s">
        <v>62</v>
      </c>
      <c r="G16" s="5" t="s">
        <v>62</v>
      </c>
      <c r="H16" s="5" t="s">
        <v>62</v>
      </c>
      <c r="I16" s="5" t="s">
        <v>62</v>
      </c>
      <c r="J16" s="5" t="s">
        <v>62</v>
      </c>
      <c r="K16" s="5" t="s">
        <v>62</v>
      </c>
      <c r="L16" s="5" t="s">
        <v>62</v>
      </c>
      <c r="M16" s="5" t="s">
        <v>62</v>
      </c>
      <c r="N16" s="5" t="s">
        <v>62</v>
      </c>
      <c r="O16" s="5" t="s">
        <v>62</v>
      </c>
      <c r="P16" s="5" t="s">
        <v>62</v>
      </c>
      <c r="Q16" s="5" t="s">
        <v>62</v>
      </c>
      <c r="R16" s="5" t="s">
        <v>62</v>
      </c>
      <c r="S16" s="5" t="s">
        <v>107</v>
      </c>
      <c r="T16" s="5" t="s">
        <v>135</v>
      </c>
      <c r="U16" s="5" t="s">
        <v>200</v>
      </c>
      <c r="V16" s="5" t="s">
        <v>62</v>
      </c>
      <c r="W16" s="5" t="s">
        <v>62</v>
      </c>
      <c r="X16" s="5" t="s">
        <v>62</v>
      </c>
      <c r="Y16" s="5" t="s">
        <v>135</v>
      </c>
      <c r="Z16" s="5" t="s">
        <v>114</v>
      </c>
      <c r="AA16" s="5" t="s">
        <v>216</v>
      </c>
      <c r="AB16" s="5"/>
      <c r="AC16" s="5" t="s">
        <v>133</v>
      </c>
      <c r="AD16" s="5" t="s">
        <v>134</v>
      </c>
      <c r="AE16" s="5">
        <v>0.35000000000000003</v>
      </c>
      <c r="AF16" s="5">
        <v>20</v>
      </c>
      <c r="AG16" s="5" t="s">
        <v>109</v>
      </c>
      <c r="AH16" s="5" t="s">
        <v>62</v>
      </c>
      <c r="AI16" s="5" t="s">
        <v>62</v>
      </c>
      <c r="AJ16" s="5" t="s">
        <v>106</v>
      </c>
      <c r="AK16" s="5" t="s">
        <v>106</v>
      </c>
      <c r="AL16" s="5" t="s">
        <v>62</v>
      </c>
      <c r="AM16" s="5" t="s">
        <v>62</v>
      </c>
      <c r="AN16" s="5" t="s">
        <v>90</v>
      </c>
      <c r="AO16" s="5" t="s">
        <v>62</v>
      </c>
      <c r="AP16" s="5" t="s">
        <v>62</v>
      </c>
      <c r="AQ16" s="5" t="s">
        <v>62</v>
      </c>
      <c r="AR16" s="5" t="s">
        <v>136</v>
      </c>
      <c r="AS16" s="5" t="s">
        <v>147</v>
      </c>
      <c r="AT16" s="5" t="s">
        <v>62</v>
      </c>
      <c r="AU16" s="5" t="s">
        <v>137</v>
      </c>
      <c r="AV16" s="5" t="s">
        <v>223</v>
      </c>
      <c r="AW16" s="5" t="s">
        <v>62</v>
      </c>
      <c r="AX16" s="5" t="s">
        <v>224</v>
      </c>
      <c r="AY16" s="5" t="s">
        <v>211</v>
      </c>
      <c r="AZ16" s="5" t="s">
        <v>113</v>
      </c>
      <c r="BA16" s="5" t="s">
        <v>140</v>
      </c>
      <c r="BB16" s="5" t="s">
        <v>107</v>
      </c>
      <c r="BC16" s="5" t="s">
        <v>115</v>
      </c>
      <c r="BD16" s="5" t="s">
        <v>143</v>
      </c>
      <c r="BE16" s="5">
        <v>1.56</v>
      </c>
      <c r="BF16" s="5" t="s">
        <v>191</v>
      </c>
      <c r="BG16" s="6">
        <v>1.87</v>
      </c>
      <c r="BH16" s="5" t="s">
        <v>225</v>
      </c>
      <c r="BI16" s="5" t="s">
        <v>117</v>
      </c>
      <c r="BJ16" s="5" t="s">
        <v>62</v>
      </c>
      <c r="BK16" s="5"/>
      <c r="BL16" s="5" t="s">
        <v>62</v>
      </c>
      <c r="BN16" s="2" t="str">
        <f t="shared" si="0"/>
        <v>hq_brigade = {</v>
      </c>
      <c r="BO16" s="2" t="str">
        <f t="shared" si="62"/>
        <v/>
      </c>
      <c r="BP16" s="2" t="str">
        <f t="shared" si="1"/>
        <v/>
      </c>
      <c r="BQ16" s="2" t="str">
        <f t="shared" si="2"/>
        <v/>
      </c>
      <c r="BR16" s="2" t="str">
        <f t="shared" si="3"/>
        <v/>
      </c>
      <c r="BS16" s="2" t="str">
        <f t="shared" si="4"/>
        <v/>
      </c>
      <c r="BT16" s="2" t="str">
        <f t="shared" si="5"/>
        <v/>
      </c>
      <c r="BU16" s="2" t="str">
        <f t="shared" si="6"/>
        <v/>
      </c>
      <c r="BV16" s="2" t="str">
        <f t="shared" si="7"/>
        <v/>
      </c>
      <c r="BW16" s="2" t="str">
        <f t="shared" si="8"/>
        <v/>
      </c>
      <c r="BX16" s="2" t="str">
        <f t="shared" si="9"/>
        <v/>
      </c>
      <c r="BY16" s="2" t="str">
        <f t="shared" si="10"/>
        <v/>
      </c>
      <c r="BZ16" s="2" t="str">
        <f t="shared" si="11"/>
        <v/>
      </c>
      <c r="CA16" s="2" t="str">
        <f t="shared" si="12"/>
        <v/>
      </c>
      <c r="CB16" s="2" t="str">
        <f t="shared" si="13"/>
        <v/>
      </c>
      <c r="CC16" s="2" t="str">
        <f t="shared" si="14"/>
        <v/>
      </c>
      <c r="CD16" s="2" t="str">
        <f t="shared" si="15"/>
        <v/>
      </c>
      <c r="CE16" s="2" t="str">
        <f t="shared" si="16"/>
        <v>air_attack = 0.33</v>
      </c>
      <c r="CF16" s="2" t="str">
        <f t="shared" si="17"/>
        <v>air_defence = 2.00</v>
      </c>
      <c r="CG16" s="2" t="str">
        <f t="shared" si="18"/>
        <v>amphibious = { attack = -0.10 }</v>
      </c>
      <c r="CH16" s="2" t="str">
        <f t="shared" si="19"/>
        <v/>
      </c>
      <c r="CI16" s="2" t="str">
        <f t="shared" si="20"/>
        <v/>
      </c>
      <c r="CJ16" s="2" t="str">
        <f t="shared" si="21"/>
        <v/>
      </c>
      <c r="CK16" s="2" t="str">
        <f t="shared" si="22"/>
        <v>build_cost_ic = 2.00</v>
      </c>
      <c r="CL16" s="2" t="str">
        <f t="shared" si="23"/>
        <v>build_cost_manpower = 1.67</v>
      </c>
      <c r="CM16" s="2" t="str">
        <f t="shared" si="24"/>
        <v>build_time = 120</v>
      </c>
      <c r="CN16" s="2" t="str">
        <f t="shared" si="25"/>
        <v/>
      </c>
      <c r="CO16" s="2" t="str">
        <f t="shared" si="26"/>
        <v>combat_width = 0</v>
      </c>
      <c r="CP16" s="2" t="str">
        <f t="shared" si="27"/>
        <v>completion_size = 0.2</v>
      </c>
      <c r="CQ16" s="2" t="str">
        <f t="shared" si="28"/>
        <v>default_morale = 0.35</v>
      </c>
      <c r="CR16" s="2" t="str">
        <f t="shared" si="29"/>
        <v>default_organisation = 20</v>
      </c>
      <c r="CS16" s="2" t="str">
        <f t="shared" si="30"/>
        <v>defensiveness = 4.33</v>
      </c>
      <c r="CT16" s="2" t="str">
        <f t="shared" si="31"/>
        <v/>
      </c>
      <c r="CU16" s="2" t="str">
        <f t="shared" si="32"/>
        <v/>
      </c>
      <c r="CV16" s="2" t="str">
        <f t="shared" si="33"/>
        <v>fuel_consumption = 0.00</v>
      </c>
      <c r="CW16" s="2" t="str">
        <f t="shared" si="34"/>
        <v>hard_attack = 0.00</v>
      </c>
      <c r="CX16" s="2" t="str">
        <f t="shared" si="35"/>
        <v/>
      </c>
      <c r="CY16" s="2" t="str">
        <f t="shared" si="36"/>
        <v/>
      </c>
      <c r="CZ16" s="2" t="str">
        <f t="shared" si="37"/>
        <v>is_buildable = no</v>
      </c>
      <c r="DA16" s="2" t="str">
        <f t="shared" si="38"/>
        <v/>
      </c>
      <c r="DB16" s="2" t="str">
        <f t="shared" si="39"/>
        <v/>
      </c>
      <c r="DC16" s="2" t="str">
        <f t="shared" si="40"/>
        <v/>
      </c>
      <c r="DD16" s="2" t="str">
        <f t="shared" si="41"/>
        <v>max_strength = 10</v>
      </c>
      <c r="DE16" s="2" t="str">
        <f t="shared" si="42"/>
        <v>maximum_speed = 3.00</v>
      </c>
      <c r="DF16" s="2" t="str">
        <f t="shared" si="43"/>
        <v/>
      </c>
      <c r="DG16" s="2" t="str">
        <f t="shared" si="44"/>
        <v>officers = 100</v>
      </c>
      <c r="DH16" s="2" t="str">
        <f t="shared" si="45"/>
        <v>on_completion = land_doctrine_practical</v>
      </c>
      <c r="DI16" s="2" t="str">
        <f t="shared" si="46"/>
        <v/>
      </c>
      <c r="DJ16" s="2" t="str">
        <f t="shared" si="47"/>
        <v>priority = 11</v>
      </c>
      <c r="DK16" s="2" t="str">
        <f t="shared" si="48"/>
        <v>radio_strength = 2</v>
      </c>
      <c r="DL16" s="2" t="str">
        <f t="shared" si="49"/>
        <v>repair_cost_multiplier = 0.05</v>
      </c>
      <c r="DM16" s="2" t="str">
        <f t="shared" si="50"/>
        <v>river = { attack = -0.05 }</v>
      </c>
      <c r="DN16" s="2" t="str">
        <f t="shared" si="51"/>
        <v>soft_attack = 0.33</v>
      </c>
      <c r="DO16" s="2" t="str">
        <f t="shared" si="52"/>
        <v>softness = 1.00</v>
      </c>
      <c r="DP16" s="2" t="str">
        <f t="shared" si="53"/>
        <v>sprite = Infantry</v>
      </c>
      <c r="DQ16" s="2" t="str">
        <f t="shared" si="54"/>
        <v>supply_consumption = 1.56</v>
      </c>
      <c r="DR16" s="2" t="str">
        <f t="shared" si="55"/>
        <v>suppression = 0.67</v>
      </c>
      <c r="DS16" s="2" t="str">
        <f t="shared" si="56"/>
        <v>toughness = 1.87</v>
      </c>
      <c r="DT16" s="2" t="str">
        <f t="shared" si="57"/>
        <v>transport_weight = 10.00</v>
      </c>
      <c r="DU16" s="2" t="str">
        <f t="shared" si="58"/>
        <v>type = land</v>
      </c>
      <c r="DV16" s="2" t="str">
        <f t="shared" si="59"/>
        <v/>
      </c>
      <c r="DW16" s="2" t="str">
        <f t="shared" si="60"/>
        <v/>
      </c>
      <c r="DX16" s="2" t="str">
        <f t="shared" si="61"/>
        <v/>
      </c>
      <c r="DY16" s="2" t="s">
        <v>0</v>
      </c>
      <c r="DZ16" s="2" t="str">
        <f t="shared" si="63"/>
        <v xml:space="preserve">hq_brigade = {
air_attack = 0.33
air_defence = 2.00
amphibious = { attack = -0.10 }
build_cost_ic = 2.00
build_cost_manpower = 1.67
build_time = 120
combat_width = 0
completion_size = 0.2
default_morale = 0.35
default_organisation = 20
defensiveness = 4.33
fuel_consumption = 0.00
hard_attack = 0.00
is_buildable = no
max_strength = 10
maximum_speed = 3.00
officers = 100
on_completion = land_doctrine_practical
priority = 11
radio_strength = 2
repair_cost_multiplier = 0.05
river = { attack = -0.05 }
soft_attack = 0.33
softness = 1.00
sprite = Infantry
supply_consumption = 1.56
suppression = 0.67
toughness = 1.87
transport_weight = 10.00
type = land
}
</v>
      </c>
    </row>
    <row r="17" spans="1:130" x14ac:dyDescent="0.25">
      <c r="A17" s="2" t="str">
        <f t="shared" ca="1" si="64"/>
        <v>C:\Program Files (x86)\Paradox Interactive\Hearts of Iron III\tfh\mod\ww1tfh\units\Imperial_brigade.txt</v>
      </c>
      <c r="B17" s="2" t="s">
        <v>16</v>
      </c>
      <c r="C17" s="5" t="s">
        <v>226</v>
      </c>
      <c r="D17" s="5" t="s">
        <v>62</v>
      </c>
      <c r="E17" s="5" t="s">
        <v>62</v>
      </c>
      <c r="F17" s="5" t="s">
        <v>62</v>
      </c>
      <c r="G17" s="5" t="s">
        <v>227</v>
      </c>
      <c r="H17" s="5" t="s">
        <v>62</v>
      </c>
      <c r="I17" s="5" t="s">
        <v>99</v>
      </c>
      <c r="J17" s="5" t="s">
        <v>228</v>
      </c>
      <c r="K17" s="5" t="s">
        <v>62</v>
      </c>
      <c r="L17" s="5" t="s">
        <v>62</v>
      </c>
      <c r="M17" s="5" t="s">
        <v>188</v>
      </c>
      <c r="N17" s="5" t="s">
        <v>62</v>
      </c>
      <c r="O17" s="5" t="s">
        <v>229</v>
      </c>
      <c r="P17" s="5" t="s">
        <v>62</v>
      </c>
      <c r="Q17" s="5" t="s">
        <v>227</v>
      </c>
      <c r="R17" s="5" t="s">
        <v>62</v>
      </c>
      <c r="S17" s="5" t="s">
        <v>107</v>
      </c>
      <c r="T17" s="5" t="s">
        <v>135</v>
      </c>
      <c r="U17" s="5" t="s">
        <v>62</v>
      </c>
      <c r="V17" s="5" t="s">
        <v>102</v>
      </c>
      <c r="W17" s="5" t="s">
        <v>62</v>
      </c>
      <c r="X17" s="5" t="s">
        <v>62</v>
      </c>
      <c r="Y17" s="5">
        <v>6.23</v>
      </c>
      <c r="Z17" s="5">
        <v>9.33</v>
      </c>
      <c r="AA17" s="5" t="s">
        <v>230</v>
      </c>
      <c r="AB17" s="5"/>
      <c r="AC17" s="5">
        <v>2</v>
      </c>
      <c r="AD17" s="5" t="s">
        <v>134</v>
      </c>
      <c r="AE17" s="5">
        <v>0.45</v>
      </c>
      <c r="AF17" s="5">
        <v>40</v>
      </c>
      <c r="AG17" s="5" t="s">
        <v>105</v>
      </c>
      <c r="AH17" s="5" t="s">
        <v>62</v>
      </c>
      <c r="AI17" s="5" t="s">
        <v>62</v>
      </c>
      <c r="AJ17" s="5" t="s">
        <v>106</v>
      </c>
      <c r="AK17" s="5" t="s">
        <v>191</v>
      </c>
      <c r="AL17" s="5" t="s">
        <v>62</v>
      </c>
      <c r="AM17" s="5" t="s">
        <v>62</v>
      </c>
      <c r="AN17" s="5" t="s">
        <v>62</v>
      </c>
      <c r="AO17" s="5" t="s">
        <v>62</v>
      </c>
      <c r="AP17" s="5" t="s">
        <v>62</v>
      </c>
      <c r="AQ17" s="5" t="s">
        <v>108</v>
      </c>
      <c r="AR17" s="5">
        <v>70</v>
      </c>
      <c r="AS17" s="5" t="s">
        <v>105</v>
      </c>
      <c r="AT17" s="5" t="s">
        <v>110</v>
      </c>
      <c r="AU17" s="5">
        <v>300</v>
      </c>
      <c r="AV17" s="5" t="s">
        <v>111</v>
      </c>
      <c r="AW17" s="5" t="s">
        <v>62</v>
      </c>
      <c r="AX17" s="5" t="s">
        <v>112</v>
      </c>
      <c r="AY17" s="5" t="s">
        <v>102</v>
      </c>
      <c r="AZ17" s="5" t="s">
        <v>113</v>
      </c>
      <c r="BA17" s="5" t="s">
        <v>62</v>
      </c>
      <c r="BB17" s="5" t="s">
        <v>135</v>
      </c>
      <c r="BC17" s="5" t="s">
        <v>115</v>
      </c>
      <c r="BD17" s="5" t="s">
        <v>116</v>
      </c>
      <c r="BE17" s="5">
        <v>1.56</v>
      </c>
      <c r="BF17" s="5">
        <v>2</v>
      </c>
      <c r="BG17" s="6">
        <v>2.1</v>
      </c>
      <c r="BH17" s="5">
        <v>20</v>
      </c>
      <c r="BI17" s="5" t="s">
        <v>117</v>
      </c>
      <c r="BJ17" s="5" t="s">
        <v>118</v>
      </c>
      <c r="BK17" s="5"/>
      <c r="BL17" s="5" t="s">
        <v>231</v>
      </c>
      <c r="BN17" s="2" t="str">
        <f t="shared" si="0"/>
        <v>imperial_brigade = {</v>
      </c>
      <c r="BO17" s="2" t="str">
        <f t="shared" si="62"/>
        <v xml:space="preserve">
amphibious = {
attack = 0.10
}</v>
      </c>
      <c r="BP17" s="2" t="str">
        <f t="shared" si="1"/>
        <v/>
      </c>
      <c r="BQ17" s="2" t="str">
        <f t="shared" si="2"/>
        <v/>
      </c>
      <c r="BR17" s="2" t="str">
        <f t="shared" si="3"/>
        <v/>
      </c>
      <c r="BS17" s="2" t="str">
        <f t="shared" si="4"/>
        <v xml:space="preserve">
forest = {
attack = 0.15
movement = 0.15
}</v>
      </c>
      <c r="BT17" s="2" t="str">
        <f t="shared" si="5"/>
        <v/>
      </c>
      <c r="BU17" s="2" t="str">
        <f t="shared" si="6"/>
        <v xml:space="preserve">
hills = {
attack = 0.05
movement = 0.05
}</v>
      </c>
      <c r="BV17" s="2" t="str">
        <f t="shared" si="7"/>
        <v xml:space="preserve">
jungle = {
attack = 0.20
movement = 0.15
}</v>
      </c>
      <c r="BW17" s="2" t="str">
        <f t="shared" si="8"/>
        <v/>
      </c>
      <c r="BX17" s="2" t="str">
        <f t="shared" si="9"/>
        <v/>
      </c>
      <c r="BY17" s="2" t="str">
        <f t="shared" si="10"/>
        <v xml:space="preserve">
night = {
attack = 0.10
defence = 0.10
movement = 0.10
}</v>
      </c>
      <c r="BZ17" s="2" t="str">
        <f t="shared" si="11"/>
        <v/>
      </c>
      <c r="CA17" s="2" t="str">
        <f t="shared" si="12"/>
        <v xml:space="preserve">
river = {
attack = 0.05
}</v>
      </c>
      <c r="CB17" s="2" t="str">
        <f t="shared" si="13"/>
        <v/>
      </c>
      <c r="CC17" s="2" t="str">
        <f t="shared" si="14"/>
        <v xml:space="preserve">
woods = {
attack = 0.15
movement = 0.15
}</v>
      </c>
      <c r="CD17" s="2" t="str">
        <f t="shared" si="15"/>
        <v/>
      </c>
      <c r="CE17" s="2" t="str">
        <f t="shared" si="16"/>
        <v>air_attack = 0.33</v>
      </c>
      <c r="CF17" s="2" t="str">
        <f t="shared" si="17"/>
        <v>air_defence = 2.00</v>
      </c>
      <c r="CG17" s="2" t="str">
        <f t="shared" si="18"/>
        <v/>
      </c>
      <c r="CH17" s="2" t="str">
        <f t="shared" si="19"/>
        <v>ap_attack = 1</v>
      </c>
      <c r="CI17" s="2" t="str">
        <f t="shared" si="20"/>
        <v/>
      </c>
      <c r="CJ17" s="2" t="str">
        <f t="shared" si="21"/>
        <v/>
      </c>
      <c r="CK17" s="2" t="str">
        <f t="shared" si="22"/>
        <v>build_cost_ic = 6.23</v>
      </c>
      <c r="CL17" s="2" t="str">
        <f t="shared" si="23"/>
        <v>build_cost_manpower = 9.33</v>
      </c>
      <c r="CM17" s="2" t="str">
        <f t="shared" si="24"/>
        <v>build_time = 175</v>
      </c>
      <c r="CN17" s="2" t="str">
        <f t="shared" si="25"/>
        <v/>
      </c>
      <c r="CO17" s="2" t="str">
        <f t="shared" si="26"/>
        <v>combat_width = 2</v>
      </c>
      <c r="CP17" s="2" t="str">
        <f t="shared" si="27"/>
        <v>completion_size = 0.2</v>
      </c>
      <c r="CQ17" s="2" t="str">
        <f t="shared" si="28"/>
        <v>default_morale = 0.45</v>
      </c>
      <c r="CR17" s="2" t="str">
        <f t="shared" si="29"/>
        <v>default_organisation = 40</v>
      </c>
      <c r="CS17" s="2" t="str">
        <f t="shared" si="30"/>
        <v>defensiveness = 4.00</v>
      </c>
      <c r="CT17" s="2" t="str">
        <f t="shared" si="31"/>
        <v/>
      </c>
      <c r="CU17" s="2" t="str">
        <f t="shared" si="32"/>
        <v/>
      </c>
      <c r="CV17" s="2" t="str">
        <f t="shared" si="33"/>
        <v>fuel_consumption = 0.00</v>
      </c>
      <c r="CW17" s="2" t="str">
        <f t="shared" si="34"/>
        <v>hard_attack = 0.67</v>
      </c>
      <c r="CX17" s="2" t="str">
        <f t="shared" si="35"/>
        <v/>
      </c>
      <c r="CY17" s="2" t="str">
        <f t="shared" si="36"/>
        <v/>
      </c>
      <c r="CZ17" s="2" t="str">
        <f t="shared" si="37"/>
        <v/>
      </c>
      <c r="DA17" s="2" t="str">
        <f t="shared" si="38"/>
        <v/>
      </c>
      <c r="DB17" s="2" t="str">
        <f t="shared" si="39"/>
        <v/>
      </c>
      <c r="DC17" s="2" t="str">
        <f t="shared" si="40"/>
        <v>max_percentage_of_type = 0.04</v>
      </c>
      <c r="DD17" s="2" t="str">
        <f t="shared" si="41"/>
        <v>max_strength = 70</v>
      </c>
      <c r="DE17" s="2" t="str">
        <f t="shared" si="42"/>
        <v>maximum_speed = 4.00</v>
      </c>
      <c r="DF17" s="2" t="str">
        <f t="shared" si="43"/>
        <v>minimum_of_type = 6</v>
      </c>
      <c r="DG17" s="2" t="str">
        <f t="shared" si="44"/>
        <v>officers = 300</v>
      </c>
      <c r="DH17" s="2" t="str">
        <f t="shared" si="45"/>
        <v>on_completion = infantry_practical</v>
      </c>
      <c r="DI17" s="2" t="str">
        <f t="shared" si="46"/>
        <v/>
      </c>
      <c r="DJ17" s="2" t="str">
        <f t="shared" si="47"/>
        <v>priority = 9</v>
      </c>
      <c r="DK17" s="2" t="str">
        <f t="shared" si="48"/>
        <v>radio_strength = 1</v>
      </c>
      <c r="DL17" s="2" t="str">
        <f t="shared" si="49"/>
        <v>repair_cost_multiplier = 0.05</v>
      </c>
      <c r="DM17" s="2" t="str">
        <f t="shared" si="50"/>
        <v/>
      </c>
      <c r="DN17" s="2" t="str">
        <f t="shared" si="51"/>
        <v>soft_attack = 2.00</v>
      </c>
      <c r="DO17" s="2" t="str">
        <f t="shared" si="52"/>
        <v>softness = 1.00</v>
      </c>
      <c r="DP17" s="2" t="str">
        <f t="shared" si="53"/>
        <v>sprite = Elite</v>
      </c>
      <c r="DQ17" s="2" t="str">
        <f t="shared" si="54"/>
        <v>supply_consumption = 1.56</v>
      </c>
      <c r="DR17" s="2" t="str">
        <f t="shared" si="55"/>
        <v>suppression = 2</v>
      </c>
      <c r="DS17" s="2" t="str">
        <f t="shared" si="56"/>
        <v>toughness = 2.1</v>
      </c>
      <c r="DT17" s="2" t="str">
        <f t="shared" si="57"/>
        <v>transport_weight = 20</v>
      </c>
      <c r="DU17" s="2" t="str">
        <f t="shared" si="58"/>
        <v>type = land</v>
      </c>
      <c r="DV17" s="2" t="str">
        <f t="shared" si="59"/>
        <v>unit_group = infantry_unit_type</v>
      </c>
      <c r="DW17" s="2" t="str">
        <f t="shared" si="60"/>
        <v/>
      </c>
      <c r="DX17" s="2" t="str">
        <f t="shared" si="61"/>
        <v>usable_by = { JAP }</v>
      </c>
      <c r="DY17" s="2" t="s">
        <v>0</v>
      </c>
      <c r="DZ17" s="2" t="str">
        <f t="shared" si="63"/>
        <v xml:space="preserve">imperial_brigade = {
amphibious = {
attack = 0.10
}
forest = {
attack = 0.15
movement = 0.15
}
hills = {
attack = 0.05
movement = 0.05
}
jungle = {
attack = 0.20
movement = 0.15
}
night = {
attack = 0.10
defence = 0.10
movement = 0.10
}
river = {
attack = 0.05
}
woods = {
attack = 0.15
movement = 0.15
}
air_attack = 0.33
air_defence = 2.00
ap_attack = 1
build_cost_ic = 6.23
build_cost_manpower = 9.33
build_time = 175
combat_width = 2
completion_size = 0.2
default_morale = 0.45
default_organisation = 40
defensiveness = 4.00
fuel_consumption = 0.00
hard_attack = 0.67
max_percentage_of_type = 0.04
max_strength = 70
maximum_speed = 4.00
minimum_of_type = 6
officers = 300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JAP }
}
</v>
      </c>
    </row>
    <row r="18" spans="1:130" x14ac:dyDescent="0.25">
      <c r="A18" s="2" t="str">
        <f t="shared" ca="1" si="64"/>
        <v>C:\Program Files (x86)\Paradox Interactive\Hearts of Iron III\tfh\mod\ww1tfh\units\infantry_brigade.txt</v>
      </c>
      <c r="B18" s="2" t="s">
        <v>17</v>
      </c>
      <c r="C18" s="5" t="s">
        <v>62</v>
      </c>
      <c r="D18" s="5" t="s">
        <v>62</v>
      </c>
      <c r="E18" s="5" t="s">
        <v>62</v>
      </c>
      <c r="F18" s="5" t="s">
        <v>62</v>
      </c>
      <c r="G18" s="5" t="s">
        <v>62</v>
      </c>
      <c r="H18" s="5" t="s">
        <v>62</v>
      </c>
      <c r="I18" s="5" t="s">
        <v>62</v>
      </c>
      <c r="J18" s="5" t="s">
        <v>62</v>
      </c>
      <c r="K18" s="5" t="s">
        <v>62</v>
      </c>
      <c r="L18" s="5" t="s">
        <v>62</v>
      </c>
      <c r="M18" s="5" t="s">
        <v>62</v>
      </c>
      <c r="N18" s="5" t="s">
        <v>62</v>
      </c>
      <c r="O18" s="5" t="s">
        <v>62</v>
      </c>
      <c r="P18" s="5" t="s">
        <v>62</v>
      </c>
      <c r="Q18" s="5" t="s">
        <v>62</v>
      </c>
      <c r="R18" s="5" t="s">
        <v>90</v>
      </c>
      <c r="S18" s="5" t="s">
        <v>107</v>
      </c>
      <c r="T18" s="5" t="s">
        <v>135</v>
      </c>
      <c r="U18" s="5" t="s">
        <v>62</v>
      </c>
      <c r="V18" s="5" t="s">
        <v>102</v>
      </c>
      <c r="W18" s="5" t="s">
        <v>62</v>
      </c>
      <c r="X18" s="5" t="s">
        <v>62</v>
      </c>
      <c r="Y18" s="5">
        <v>5.44</v>
      </c>
      <c r="Z18" s="5">
        <v>7.77</v>
      </c>
      <c r="AA18" s="5" t="s">
        <v>132</v>
      </c>
      <c r="AB18" s="5"/>
      <c r="AC18" s="5">
        <v>2</v>
      </c>
      <c r="AD18" s="5" t="s">
        <v>134</v>
      </c>
      <c r="AE18" s="5">
        <v>0.25</v>
      </c>
      <c r="AF18" s="5">
        <v>20</v>
      </c>
      <c r="AG18" s="5" t="s">
        <v>105</v>
      </c>
      <c r="AH18" s="5" t="s">
        <v>62</v>
      </c>
      <c r="AI18" s="5" t="s">
        <v>62</v>
      </c>
      <c r="AJ18" s="5" t="s">
        <v>106</v>
      </c>
      <c r="AK18" s="5" t="s">
        <v>191</v>
      </c>
      <c r="AL18" s="5" t="s">
        <v>62</v>
      </c>
      <c r="AM18" s="5" t="s">
        <v>62</v>
      </c>
      <c r="AN18" s="5" t="s">
        <v>62</v>
      </c>
      <c r="AO18" s="5" t="s">
        <v>62</v>
      </c>
      <c r="AP18" s="5" t="s">
        <v>62</v>
      </c>
      <c r="AQ18" s="5" t="s">
        <v>62</v>
      </c>
      <c r="AR18" s="5">
        <v>70</v>
      </c>
      <c r="AS18" s="5" t="s">
        <v>105</v>
      </c>
      <c r="AT18" s="5" t="s">
        <v>62</v>
      </c>
      <c r="AU18" s="5">
        <v>200</v>
      </c>
      <c r="AV18" s="5" t="s">
        <v>111</v>
      </c>
      <c r="AW18" s="5" t="s">
        <v>62</v>
      </c>
      <c r="AX18" s="5" t="s">
        <v>232</v>
      </c>
      <c r="AY18" s="5" t="s">
        <v>102</v>
      </c>
      <c r="AZ18" s="5" t="s">
        <v>113</v>
      </c>
      <c r="BA18" s="5" t="s">
        <v>62</v>
      </c>
      <c r="BB18" s="5" t="s">
        <v>135</v>
      </c>
      <c r="BC18" s="5" t="s">
        <v>115</v>
      </c>
      <c r="BD18" s="5" t="s">
        <v>143</v>
      </c>
      <c r="BE18" s="5">
        <v>1.56</v>
      </c>
      <c r="BF18" s="5">
        <v>2</v>
      </c>
      <c r="BG18" s="6">
        <v>2.1</v>
      </c>
      <c r="BH18" s="5">
        <v>20</v>
      </c>
      <c r="BI18" s="5" t="s">
        <v>117</v>
      </c>
      <c r="BJ18" s="5" t="s">
        <v>118</v>
      </c>
      <c r="BK18" s="5"/>
      <c r="BL18" s="5" t="s">
        <v>62</v>
      </c>
      <c r="BN18" s="2" t="str">
        <f t="shared" si="0"/>
        <v>infantry_brigade = {</v>
      </c>
      <c r="BO18" s="2" t="str">
        <f t="shared" si="62"/>
        <v/>
      </c>
      <c r="BP18" s="2" t="str">
        <f t="shared" si="1"/>
        <v/>
      </c>
      <c r="BQ18" s="2" t="str">
        <f t="shared" si="2"/>
        <v/>
      </c>
      <c r="BR18" s="2" t="str">
        <f t="shared" si="3"/>
        <v/>
      </c>
      <c r="BS18" s="2" t="str">
        <f t="shared" si="4"/>
        <v/>
      </c>
      <c r="BT18" s="2" t="str">
        <f t="shared" si="5"/>
        <v/>
      </c>
      <c r="BU18" s="2" t="str">
        <f t="shared" si="6"/>
        <v/>
      </c>
      <c r="BV18" s="2" t="str">
        <f t="shared" si="7"/>
        <v/>
      </c>
      <c r="BW18" s="2" t="str">
        <f t="shared" si="8"/>
        <v/>
      </c>
      <c r="BX18" s="2" t="str">
        <f t="shared" si="9"/>
        <v/>
      </c>
      <c r="BY18" s="2" t="str">
        <f t="shared" si="10"/>
        <v/>
      </c>
      <c r="BZ18" s="2" t="str">
        <f t="shared" si="11"/>
        <v/>
      </c>
      <c r="CA18" s="2" t="str">
        <f t="shared" si="12"/>
        <v/>
      </c>
      <c r="CB18" s="2" t="str">
        <f t="shared" si="13"/>
        <v/>
      </c>
      <c r="CC18" s="2" t="str">
        <f t="shared" si="14"/>
        <v/>
      </c>
      <c r="CD18" s="2" t="str">
        <f t="shared" si="15"/>
        <v>active = no</v>
      </c>
      <c r="CE18" s="2" t="str">
        <f t="shared" si="16"/>
        <v>air_attack = 0.33</v>
      </c>
      <c r="CF18" s="2" t="str">
        <f t="shared" si="17"/>
        <v>air_defence = 2.00</v>
      </c>
      <c r="CG18" s="2" t="str">
        <f t="shared" si="18"/>
        <v/>
      </c>
      <c r="CH18" s="2" t="str">
        <f t="shared" si="19"/>
        <v>ap_attack = 1</v>
      </c>
      <c r="CI18" s="2" t="str">
        <f t="shared" si="20"/>
        <v/>
      </c>
      <c r="CJ18" s="2" t="str">
        <f t="shared" si="21"/>
        <v/>
      </c>
      <c r="CK18" s="2" t="str">
        <f t="shared" si="22"/>
        <v>build_cost_ic = 5.44</v>
      </c>
      <c r="CL18" s="2" t="str">
        <f t="shared" si="23"/>
        <v>build_cost_manpower = 7.77</v>
      </c>
      <c r="CM18" s="2" t="str">
        <f t="shared" si="24"/>
        <v>build_time = 95</v>
      </c>
      <c r="CN18" s="2" t="str">
        <f t="shared" si="25"/>
        <v/>
      </c>
      <c r="CO18" s="2" t="str">
        <f t="shared" si="26"/>
        <v>combat_width = 2</v>
      </c>
      <c r="CP18" s="2" t="str">
        <f t="shared" si="27"/>
        <v>completion_size = 0.2</v>
      </c>
      <c r="CQ18" s="2" t="str">
        <f t="shared" si="28"/>
        <v>default_morale = 0.25</v>
      </c>
      <c r="CR18" s="2" t="str">
        <f t="shared" si="29"/>
        <v>default_organisation = 20</v>
      </c>
      <c r="CS18" s="2" t="str">
        <f t="shared" si="30"/>
        <v>defensiveness = 4.00</v>
      </c>
      <c r="CT18" s="2" t="str">
        <f t="shared" si="31"/>
        <v/>
      </c>
      <c r="CU18" s="2" t="str">
        <f t="shared" si="32"/>
        <v/>
      </c>
      <c r="CV18" s="2" t="str">
        <f t="shared" si="33"/>
        <v>fuel_consumption = 0.00</v>
      </c>
      <c r="CW18" s="2" t="str">
        <f t="shared" si="34"/>
        <v>hard_attack = 0.67</v>
      </c>
      <c r="CX18" s="2" t="str">
        <f t="shared" si="35"/>
        <v/>
      </c>
      <c r="CY18" s="2" t="str">
        <f t="shared" si="36"/>
        <v/>
      </c>
      <c r="CZ18" s="2" t="str">
        <f t="shared" si="37"/>
        <v/>
      </c>
      <c r="DA18" s="2" t="str">
        <f t="shared" si="38"/>
        <v/>
      </c>
      <c r="DB18" s="2" t="str">
        <f t="shared" si="39"/>
        <v/>
      </c>
      <c r="DC18" s="2" t="str">
        <f t="shared" si="40"/>
        <v/>
      </c>
      <c r="DD18" s="2" t="str">
        <f t="shared" si="41"/>
        <v>max_strength = 70</v>
      </c>
      <c r="DE18" s="2" t="str">
        <f t="shared" si="42"/>
        <v>maximum_speed = 4.00</v>
      </c>
      <c r="DF18" s="2" t="str">
        <f t="shared" si="43"/>
        <v/>
      </c>
      <c r="DG18" s="2" t="str">
        <f t="shared" si="44"/>
        <v>officers = 200</v>
      </c>
      <c r="DH18" s="2" t="str">
        <f t="shared" si="45"/>
        <v>on_completion = infantry_practical</v>
      </c>
      <c r="DI18" s="2" t="str">
        <f t="shared" si="46"/>
        <v/>
      </c>
      <c r="DJ18" s="2" t="str">
        <f t="shared" si="47"/>
        <v>priority = 7</v>
      </c>
      <c r="DK18" s="2" t="str">
        <f t="shared" si="48"/>
        <v>radio_strength = 1</v>
      </c>
      <c r="DL18" s="2" t="str">
        <f t="shared" si="49"/>
        <v>repair_cost_multiplier = 0.05</v>
      </c>
      <c r="DM18" s="2" t="str">
        <f t="shared" si="50"/>
        <v/>
      </c>
      <c r="DN18" s="2" t="str">
        <f t="shared" si="51"/>
        <v>soft_attack = 2.00</v>
      </c>
      <c r="DO18" s="2" t="str">
        <f t="shared" si="52"/>
        <v>softness = 1.00</v>
      </c>
      <c r="DP18" s="2" t="str">
        <f t="shared" si="53"/>
        <v>sprite = Infantry</v>
      </c>
      <c r="DQ18" s="2" t="str">
        <f t="shared" si="54"/>
        <v>supply_consumption = 1.56</v>
      </c>
      <c r="DR18" s="2" t="str">
        <f t="shared" si="55"/>
        <v>suppression = 2</v>
      </c>
      <c r="DS18" s="2" t="str">
        <f t="shared" si="56"/>
        <v>toughness = 2.1</v>
      </c>
      <c r="DT18" s="2" t="str">
        <f t="shared" si="57"/>
        <v>transport_weight = 20</v>
      </c>
      <c r="DU18" s="2" t="str">
        <f t="shared" si="58"/>
        <v>type = land</v>
      </c>
      <c r="DV18" s="2" t="str">
        <f t="shared" si="59"/>
        <v>unit_group = infantry_unit_type</v>
      </c>
      <c r="DW18" s="2" t="str">
        <f t="shared" si="60"/>
        <v/>
      </c>
      <c r="DX18" s="2" t="str">
        <f t="shared" si="61"/>
        <v/>
      </c>
      <c r="DY18" s="2" t="s">
        <v>0</v>
      </c>
      <c r="DZ18" s="2" t="str">
        <f t="shared" si="63"/>
        <v xml:space="preserve">infantry_brigade = {
active = no
air_attack = 0.33
air_defence = 2.00
ap_attack = 1
build_cost_ic = 5.44
build_cost_manpower = 7.77
build_time = 95
combat_width = 2
completion_size = 0.2
default_morale = 0.25
default_organisation = 20
defensiveness = 4.00
fuel_consumption = 0.00
hard_attack = 0.67
max_strength = 70
maximum_speed = 4.00
officers = 200
on_completion = infantry_practical
priority = 7
radio_strength = 1
repair_cost_multiplier = 0.05
soft_attack = 2.00
softness = 1.00
sprite = Infantry
supply_consumption = 1.56
suppression = 2
toughness = 2.1
transport_weight = 20
type = land
unit_group = infantry_unit_type
}
</v>
      </c>
    </row>
    <row r="19" spans="1:130" x14ac:dyDescent="0.25">
      <c r="A19" s="2" t="str">
        <f t="shared" ca="1" si="64"/>
        <v>C:\Program Files (x86)\Paradox Interactive\Hearts of Iron III\tfh\mod\ww1tfh\units\janissary_brigade.txt</v>
      </c>
      <c r="B19" s="2" t="s">
        <v>18</v>
      </c>
      <c r="C19" s="5" t="s">
        <v>62</v>
      </c>
      <c r="D19" s="5" t="s">
        <v>62</v>
      </c>
      <c r="E19" s="5" t="s">
        <v>62</v>
      </c>
      <c r="F19" s="5" t="s">
        <v>62</v>
      </c>
      <c r="G19" s="5" t="s">
        <v>187</v>
      </c>
      <c r="H19" s="5" t="s">
        <v>62</v>
      </c>
      <c r="I19" s="5" t="s">
        <v>99</v>
      </c>
      <c r="J19" s="5" t="s">
        <v>187</v>
      </c>
      <c r="K19" s="5" t="s">
        <v>62</v>
      </c>
      <c r="L19" s="5" t="s">
        <v>62</v>
      </c>
      <c r="M19" s="5" t="s">
        <v>188</v>
      </c>
      <c r="N19" s="5" t="s">
        <v>62</v>
      </c>
      <c r="O19" s="5" t="s">
        <v>62</v>
      </c>
      <c r="P19" s="5" t="s">
        <v>189</v>
      </c>
      <c r="Q19" s="5" t="s">
        <v>187</v>
      </c>
      <c r="R19" s="5" t="s">
        <v>62</v>
      </c>
      <c r="S19" s="5" t="s">
        <v>107</v>
      </c>
      <c r="T19" s="5" t="s">
        <v>135</v>
      </c>
      <c r="U19" s="5" t="s">
        <v>62</v>
      </c>
      <c r="V19" s="5" t="s">
        <v>102</v>
      </c>
      <c r="W19" s="5" t="s">
        <v>62</v>
      </c>
      <c r="X19" s="5" t="s">
        <v>62</v>
      </c>
      <c r="Y19" s="5">
        <v>6.23</v>
      </c>
      <c r="Z19" s="5">
        <v>9.33</v>
      </c>
      <c r="AA19" s="5" t="s">
        <v>190</v>
      </c>
      <c r="AB19" s="5"/>
      <c r="AC19" s="5">
        <v>2</v>
      </c>
      <c r="AD19" s="5">
        <v>0.3</v>
      </c>
      <c r="AE19" s="5">
        <v>0.35000000000000003</v>
      </c>
      <c r="AF19" s="5">
        <v>30</v>
      </c>
      <c r="AG19" s="5" t="s">
        <v>105</v>
      </c>
      <c r="AH19" s="5" t="s">
        <v>62</v>
      </c>
      <c r="AI19" s="5" t="s">
        <v>62</v>
      </c>
      <c r="AJ19" s="5" t="s">
        <v>106</v>
      </c>
      <c r="AK19" s="5" t="s">
        <v>191</v>
      </c>
      <c r="AL19" s="5" t="s">
        <v>62</v>
      </c>
      <c r="AM19" s="5" t="s">
        <v>62</v>
      </c>
      <c r="AN19" s="5" t="s">
        <v>62</v>
      </c>
      <c r="AO19" s="5" t="s">
        <v>62</v>
      </c>
      <c r="AP19" s="5" t="s">
        <v>62</v>
      </c>
      <c r="AQ19" s="5" t="s">
        <v>108</v>
      </c>
      <c r="AR19" s="5">
        <v>70</v>
      </c>
      <c r="AS19" s="5" t="s">
        <v>105</v>
      </c>
      <c r="AT19" s="5" t="s">
        <v>110</v>
      </c>
      <c r="AU19" s="5">
        <v>250</v>
      </c>
      <c r="AV19" s="5" t="s">
        <v>111</v>
      </c>
      <c r="AW19" s="5" t="s">
        <v>62</v>
      </c>
      <c r="AX19" s="5" t="s">
        <v>112</v>
      </c>
      <c r="AY19" s="5" t="s">
        <v>102</v>
      </c>
      <c r="AZ19" s="5" t="s">
        <v>113</v>
      </c>
      <c r="BA19" s="5" t="s">
        <v>62</v>
      </c>
      <c r="BB19" s="5" t="s">
        <v>135</v>
      </c>
      <c r="BC19" s="5" t="s">
        <v>115</v>
      </c>
      <c r="BD19" s="5" t="s">
        <v>116</v>
      </c>
      <c r="BE19" s="5">
        <v>1.56</v>
      </c>
      <c r="BF19" s="5">
        <v>2</v>
      </c>
      <c r="BG19" s="6">
        <v>2.1</v>
      </c>
      <c r="BH19" s="5">
        <v>20</v>
      </c>
      <c r="BI19" s="5" t="s">
        <v>117</v>
      </c>
      <c r="BJ19" s="5" t="s">
        <v>118</v>
      </c>
      <c r="BK19" s="5"/>
      <c r="BL19" s="5" t="s">
        <v>233</v>
      </c>
      <c r="BN19" s="2" t="str">
        <f t="shared" si="0"/>
        <v>janissary_brigade = {</v>
      </c>
      <c r="BO19" s="2" t="str">
        <f t="shared" si="62"/>
        <v/>
      </c>
      <c r="BP19" s="2" t="str">
        <f t="shared" si="1"/>
        <v/>
      </c>
      <c r="BQ19" s="2" t="str">
        <f t="shared" si="2"/>
        <v/>
      </c>
      <c r="BR19" s="2" t="str">
        <f t="shared" si="3"/>
        <v/>
      </c>
      <c r="BS19" s="2" t="str">
        <f t="shared" si="4"/>
        <v xml:space="preserve">
forest = {
attack = 0.10
movement = 0.15
}</v>
      </c>
      <c r="BT19" s="2" t="str">
        <f t="shared" si="5"/>
        <v/>
      </c>
      <c r="BU19" s="2" t="str">
        <f t="shared" si="6"/>
        <v xml:space="preserve">
hills = {
attack = 0.05
movement = 0.05
}</v>
      </c>
      <c r="BV19" s="2" t="str">
        <f t="shared" si="7"/>
        <v xml:space="preserve">
jungle = {
attack = 0.10
movement = 0.15
}</v>
      </c>
      <c r="BW19" s="2" t="str">
        <f t="shared" si="8"/>
        <v/>
      </c>
      <c r="BX19" s="2" t="str">
        <f t="shared" si="9"/>
        <v/>
      </c>
      <c r="BY19" s="2" t="str">
        <f t="shared" si="10"/>
        <v xml:space="preserve">
night = {
attack = 0.10
defence = 0.10
movement = 0.10
}</v>
      </c>
      <c r="BZ19" s="2" t="str">
        <f t="shared" si="11"/>
        <v/>
      </c>
      <c r="CA19" s="2" t="str">
        <f t="shared" si="12"/>
        <v/>
      </c>
      <c r="CB19" s="2" t="str">
        <f t="shared" si="13"/>
        <v xml:space="preserve">
urban = {
attack = 0.20
defence = 0.15
}</v>
      </c>
      <c r="CC19" s="2" t="str">
        <f t="shared" si="14"/>
        <v xml:space="preserve">
woods = {
attack = 0.10
movement = 0.15
}</v>
      </c>
      <c r="CD19" s="2" t="str">
        <f t="shared" si="15"/>
        <v/>
      </c>
      <c r="CE19" s="2" t="str">
        <f t="shared" si="16"/>
        <v>air_attack = 0.33</v>
      </c>
      <c r="CF19" s="2" t="str">
        <f t="shared" si="17"/>
        <v>air_defence = 2.00</v>
      </c>
      <c r="CG19" s="2" t="str">
        <f t="shared" si="18"/>
        <v/>
      </c>
      <c r="CH19" s="2" t="str">
        <f t="shared" si="19"/>
        <v>ap_attack = 1</v>
      </c>
      <c r="CI19" s="2" t="str">
        <f t="shared" si="20"/>
        <v/>
      </c>
      <c r="CJ19" s="2" t="str">
        <f t="shared" si="21"/>
        <v/>
      </c>
      <c r="CK19" s="2" t="str">
        <f t="shared" si="22"/>
        <v>build_cost_ic = 6.23</v>
      </c>
      <c r="CL19" s="2" t="str">
        <f t="shared" si="23"/>
        <v>build_cost_manpower = 9.33</v>
      </c>
      <c r="CM19" s="2" t="str">
        <f t="shared" si="24"/>
        <v>build_time = 150</v>
      </c>
      <c r="CN19" s="2" t="str">
        <f t="shared" si="25"/>
        <v/>
      </c>
      <c r="CO19" s="2" t="str">
        <f t="shared" si="26"/>
        <v>combat_width = 2</v>
      </c>
      <c r="CP19" s="2" t="str">
        <f t="shared" si="27"/>
        <v>completion_size = 0.3</v>
      </c>
      <c r="CQ19" s="2" t="str">
        <f t="shared" si="28"/>
        <v>default_morale = 0.35</v>
      </c>
      <c r="CR19" s="2" t="str">
        <f t="shared" si="29"/>
        <v>default_organisation = 30</v>
      </c>
      <c r="CS19" s="2" t="str">
        <f t="shared" si="30"/>
        <v>defensiveness = 4.00</v>
      </c>
      <c r="CT19" s="2" t="str">
        <f t="shared" si="31"/>
        <v/>
      </c>
      <c r="CU19" s="2" t="str">
        <f t="shared" si="32"/>
        <v/>
      </c>
      <c r="CV19" s="2" t="str">
        <f t="shared" si="33"/>
        <v>fuel_consumption = 0.00</v>
      </c>
      <c r="CW19" s="2" t="str">
        <f t="shared" si="34"/>
        <v>hard_attack = 0.67</v>
      </c>
      <c r="CX19" s="2" t="str">
        <f t="shared" si="35"/>
        <v/>
      </c>
      <c r="CY19" s="2" t="str">
        <f t="shared" si="36"/>
        <v/>
      </c>
      <c r="CZ19" s="2" t="str">
        <f t="shared" si="37"/>
        <v/>
      </c>
      <c r="DA19" s="2" t="str">
        <f t="shared" si="38"/>
        <v/>
      </c>
      <c r="DB19" s="2" t="str">
        <f t="shared" si="39"/>
        <v/>
      </c>
      <c r="DC19" s="2" t="str">
        <f t="shared" si="40"/>
        <v>max_percentage_of_type = 0.04</v>
      </c>
      <c r="DD19" s="2" t="str">
        <f t="shared" si="41"/>
        <v>max_strength = 70</v>
      </c>
      <c r="DE19" s="2" t="str">
        <f t="shared" si="42"/>
        <v>maximum_speed = 4.00</v>
      </c>
      <c r="DF19" s="2" t="str">
        <f t="shared" si="43"/>
        <v>minimum_of_type = 6</v>
      </c>
      <c r="DG19" s="2" t="str">
        <f t="shared" si="44"/>
        <v>officers = 250</v>
      </c>
      <c r="DH19" s="2" t="str">
        <f t="shared" si="45"/>
        <v>on_completion = infantry_practical</v>
      </c>
      <c r="DI19" s="2" t="str">
        <f t="shared" si="46"/>
        <v/>
      </c>
      <c r="DJ19" s="2" t="str">
        <f t="shared" si="47"/>
        <v>priority = 9</v>
      </c>
      <c r="DK19" s="2" t="str">
        <f t="shared" si="48"/>
        <v>radio_strength = 1</v>
      </c>
      <c r="DL19" s="2" t="str">
        <f t="shared" si="49"/>
        <v>repair_cost_multiplier = 0.05</v>
      </c>
      <c r="DM19" s="2" t="str">
        <f t="shared" si="50"/>
        <v/>
      </c>
      <c r="DN19" s="2" t="str">
        <f t="shared" si="51"/>
        <v>soft_attack = 2.00</v>
      </c>
      <c r="DO19" s="2" t="str">
        <f t="shared" si="52"/>
        <v>softness = 1.00</v>
      </c>
      <c r="DP19" s="2" t="str">
        <f t="shared" si="53"/>
        <v>sprite = Elite</v>
      </c>
      <c r="DQ19" s="2" t="str">
        <f t="shared" si="54"/>
        <v>supply_consumption = 1.56</v>
      </c>
      <c r="DR19" s="2" t="str">
        <f t="shared" si="55"/>
        <v>suppression = 2</v>
      </c>
      <c r="DS19" s="2" t="str">
        <f t="shared" si="56"/>
        <v>toughness = 2.1</v>
      </c>
      <c r="DT19" s="2" t="str">
        <f t="shared" si="57"/>
        <v>transport_weight = 20</v>
      </c>
      <c r="DU19" s="2" t="str">
        <f t="shared" si="58"/>
        <v>type = land</v>
      </c>
      <c r="DV19" s="2" t="str">
        <f t="shared" si="59"/>
        <v>unit_group = infantry_unit_type</v>
      </c>
      <c r="DW19" s="2" t="str">
        <f t="shared" si="60"/>
        <v/>
      </c>
      <c r="DX19" s="2" t="str">
        <f t="shared" si="61"/>
        <v>usable_by = { TUR }</v>
      </c>
      <c r="DY19" s="2" t="s">
        <v>0</v>
      </c>
      <c r="DZ19" s="2" t="str">
        <f t="shared" si="63"/>
        <v xml:space="preserve">janissary_brigade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20
type = land
unit_group = infantry_unit_type
usable_by = { TUR }
}
</v>
      </c>
    </row>
    <row r="20" spans="1:130" x14ac:dyDescent="0.25">
      <c r="A20" s="2" t="str">
        <f t="shared" ca="1" si="64"/>
        <v>C:\Program Files (x86)\Paradox Interactive\Hearts of Iron III\tfh\mod\ww1tfh\units\light_armor_brigade.txt</v>
      </c>
      <c r="B20" s="2" t="s">
        <v>19</v>
      </c>
      <c r="C20" s="5" t="s">
        <v>62</v>
      </c>
      <c r="D20" s="5" t="s">
        <v>62</v>
      </c>
      <c r="E20" s="5" t="s">
        <v>62</v>
      </c>
      <c r="F20" s="5" t="s">
        <v>62</v>
      </c>
      <c r="G20" s="5" t="s">
        <v>234</v>
      </c>
      <c r="H20" s="5" t="s">
        <v>62</v>
      </c>
      <c r="I20" s="5" t="s">
        <v>235</v>
      </c>
      <c r="J20" s="5" t="s">
        <v>236</v>
      </c>
      <c r="K20" s="5" t="s">
        <v>237</v>
      </c>
      <c r="L20" s="5" t="s">
        <v>238</v>
      </c>
      <c r="M20" s="5" t="s">
        <v>62</v>
      </c>
      <c r="N20" s="5" t="s">
        <v>62</v>
      </c>
      <c r="O20" s="5" t="s">
        <v>62</v>
      </c>
      <c r="P20" s="5" t="s">
        <v>239</v>
      </c>
      <c r="Q20" s="5" t="s">
        <v>240</v>
      </c>
      <c r="R20" s="5" t="s">
        <v>90</v>
      </c>
      <c r="S20" s="5" t="s">
        <v>107</v>
      </c>
      <c r="T20" s="5" t="s">
        <v>115</v>
      </c>
      <c r="U20" s="5" t="s">
        <v>156</v>
      </c>
      <c r="V20" s="5">
        <v>3</v>
      </c>
      <c r="W20" s="5" t="s">
        <v>62</v>
      </c>
      <c r="X20" s="5">
        <v>3</v>
      </c>
      <c r="Y20" s="5">
        <v>8</v>
      </c>
      <c r="Z20" s="5">
        <v>0.78</v>
      </c>
      <c r="AA20" s="5" t="s">
        <v>103</v>
      </c>
      <c r="AB20" s="5"/>
      <c r="AC20" s="5">
        <v>0</v>
      </c>
      <c r="AD20" s="5">
        <v>0.6</v>
      </c>
      <c r="AE20" s="5">
        <v>0.25</v>
      </c>
      <c r="AF20" s="5">
        <v>20</v>
      </c>
      <c r="AG20" s="5" t="s">
        <v>131</v>
      </c>
      <c r="AH20" s="5" t="s">
        <v>62</v>
      </c>
      <c r="AI20" s="5" t="s">
        <v>62</v>
      </c>
      <c r="AJ20" s="5">
        <v>1.5</v>
      </c>
      <c r="AK20" s="5" t="s">
        <v>191</v>
      </c>
      <c r="AL20" s="5" t="s">
        <v>62</v>
      </c>
      <c r="AM20" s="5" t="s">
        <v>159</v>
      </c>
      <c r="AN20" s="5" t="s">
        <v>62</v>
      </c>
      <c r="AO20" s="5" t="s">
        <v>159</v>
      </c>
      <c r="AP20" s="5" t="s">
        <v>62</v>
      </c>
      <c r="AQ20" s="5" t="s">
        <v>62</v>
      </c>
      <c r="AR20" s="5">
        <v>10</v>
      </c>
      <c r="AS20" s="5">
        <v>5</v>
      </c>
      <c r="AT20" s="5" t="s">
        <v>62</v>
      </c>
      <c r="AU20" s="5" t="s">
        <v>137</v>
      </c>
      <c r="AV20" s="5" t="s">
        <v>160</v>
      </c>
      <c r="AW20" s="5" t="s">
        <v>62</v>
      </c>
      <c r="AX20" s="5" t="s">
        <v>136</v>
      </c>
      <c r="AY20" s="5" t="s">
        <v>102</v>
      </c>
      <c r="AZ20" s="5" t="s">
        <v>113</v>
      </c>
      <c r="BA20" s="5" t="s">
        <v>140</v>
      </c>
      <c r="BB20" s="5" t="s">
        <v>114</v>
      </c>
      <c r="BC20" s="5" t="s">
        <v>241</v>
      </c>
      <c r="BD20" s="5" t="s">
        <v>162</v>
      </c>
      <c r="BE20" s="5">
        <v>3.1</v>
      </c>
      <c r="BF20" s="5" t="s">
        <v>107</v>
      </c>
      <c r="BG20" s="6">
        <v>2.33</v>
      </c>
      <c r="BH20" s="5" t="s">
        <v>242</v>
      </c>
      <c r="BI20" s="5" t="s">
        <v>117</v>
      </c>
      <c r="BJ20" s="5" t="s">
        <v>164</v>
      </c>
      <c r="BK20" s="5"/>
      <c r="BL20" s="5" t="s">
        <v>62</v>
      </c>
      <c r="BN20" s="2" t="str">
        <f t="shared" si="0"/>
        <v>light_armor_brigade = {</v>
      </c>
      <c r="BO20" s="2" t="str">
        <f t="shared" si="62"/>
        <v/>
      </c>
      <c r="BP20" s="2" t="str">
        <f t="shared" si="1"/>
        <v/>
      </c>
      <c r="BQ20" s="2" t="str">
        <f t="shared" si="2"/>
        <v/>
      </c>
      <c r="BR20" s="2" t="str">
        <f t="shared" si="3"/>
        <v/>
      </c>
      <c r="BS20" s="2" t="str">
        <f t="shared" si="4"/>
        <v xml:space="preserve">
forest = {
attack = -0.20
movement = -0.30
defence = -0.3
}</v>
      </c>
      <c r="BT20" s="2" t="str">
        <f t="shared" si="5"/>
        <v/>
      </c>
      <c r="BU20" s="2" t="str">
        <f t="shared" si="6"/>
        <v xml:space="preserve">
hills = {
attack = -0.05
movement = -0.05
defence = -0.2
}</v>
      </c>
      <c r="BV20" s="2" t="str">
        <f t="shared" si="7"/>
        <v xml:space="preserve">
jungle = {
attack = -0.30
movement = -0.30
defence = -0.5
}</v>
      </c>
      <c r="BW20" s="2" t="str">
        <f t="shared" si="8"/>
        <v xml:space="preserve">
marsh = {
attack = -0.30
movement = -0.70
defence = -0.5
}</v>
      </c>
      <c r="BX20" s="2" t="str">
        <f t="shared" si="9"/>
        <v xml:space="preserve">
mountain = {
attack = -0.20
movement = -0.30
defence = -0.60
}</v>
      </c>
      <c r="BY20" s="2" t="str">
        <f t="shared" si="10"/>
        <v/>
      </c>
      <c r="BZ20" s="2" t="str">
        <f t="shared" si="11"/>
        <v/>
      </c>
      <c r="CA20" s="2" t="str">
        <f t="shared" si="12"/>
        <v/>
      </c>
      <c r="CB20" s="2" t="str">
        <f t="shared" si="13"/>
        <v xml:space="preserve">
urban = {
attack = -0.40
defence = -0.60
}</v>
      </c>
      <c r="CC20" s="2" t="str">
        <f t="shared" si="14"/>
        <v xml:space="preserve">
woods = {
attack = -0.05
movement = -0.10
defence = -0.2
}</v>
      </c>
      <c r="CD20" s="2" t="str">
        <f t="shared" si="15"/>
        <v>active = no</v>
      </c>
      <c r="CE20" s="2" t="str">
        <f t="shared" si="16"/>
        <v>air_attack = 0.33</v>
      </c>
      <c r="CF20" s="2" t="str">
        <f t="shared" si="17"/>
        <v>air_defence = 1.00</v>
      </c>
      <c r="CG20" s="2" t="str">
        <f t="shared" si="18"/>
        <v>amphibious = { attack = -0.60 }</v>
      </c>
      <c r="CH20" s="2" t="str">
        <f t="shared" si="19"/>
        <v>ap_attack = 3</v>
      </c>
      <c r="CI20" s="2" t="str">
        <f t="shared" si="20"/>
        <v/>
      </c>
      <c r="CJ20" s="2" t="str">
        <f t="shared" si="21"/>
        <v>armor_value = 3</v>
      </c>
      <c r="CK20" s="2" t="str">
        <f t="shared" si="22"/>
        <v>build_cost_ic = 8</v>
      </c>
      <c r="CL20" s="2" t="str">
        <f t="shared" si="23"/>
        <v>build_cost_manpower = 0.78</v>
      </c>
      <c r="CM20" s="2" t="str">
        <f t="shared" si="24"/>
        <v>build_time = 160</v>
      </c>
      <c r="CN20" s="2" t="str">
        <f t="shared" si="25"/>
        <v/>
      </c>
      <c r="CO20" s="2" t="str">
        <f t="shared" si="26"/>
        <v>combat_width = 0</v>
      </c>
      <c r="CP20" s="2" t="str">
        <f t="shared" si="27"/>
        <v>completion_size = 0.6</v>
      </c>
      <c r="CQ20" s="2" t="str">
        <f t="shared" si="28"/>
        <v>default_morale = 0.25</v>
      </c>
      <c r="CR20" s="2" t="str">
        <f t="shared" si="29"/>
        <v>default_organisation = 20</v>
      </c>
      <c r="CS20" s="2" t="str">
        <f t="shared" si="30"/>
        <v>defensiveness = 2.33</v>
      </c>
      <c r="CT20" s="2" t="str">
        <f t="shared" si="31"/>
        <v/>
      </c>
      <c r="CU20" s="2" t="str">
        <f t="shared" si="32"/>
        <v/>
      </c>
      <c r="CV20" s="2" t="str">
        <f t="shared" si="33"/>
        <v>fuel_consumption = 1.5</v>
      </c>
      <c r="CW20" s="2" t="str">
        <f t="shared" si="34"/>
        <v>hard_attack = 0.67</v>
      </c>
      <c r="CX20" s="2" t="str">
        <f t="shared" si="35"/>
        <v/>
      </c>
      <c r="CY20" s="2" t="str">
        <f t="shared" si="36"/>
        <v>is_armor = yes</v>
      </c>
      <c r="CZ20" s="2" t="str">
        <f t="shared" si="37"/>
        <v/>
      </c>
      <c r="DA20" s="2" t="str">
        <f t="shared" si="38"/>
        <v>is_mobile = yes</v>
      </c>
      <c r="DB20" s="2" t="str">
        <f t="shared" si="39"/>
        <v/>
      </c>
      <c r="DC20" s="2" t="str">
        <f t="shared" si="40"/>
        <v/>
      </c>
      <c r="DD20" s="2" t="str">
        <f t="shared" si="41"/>
        <v>max_strength = 10</v>
      </c>
      <c r="DE20" s="2" t="str">
        <f t="shared" si="42"/>
        <v>maximum_speed = 5</v>
      </c>
      <c r="DF20" s="2" t="str">
        <f t="shared" si="43"/>
        <v/>
      </c>
      <c r="DG20" s="2" t="str">
        <f t="shared" si="44"/>
        <v>officers = 100</v>
      </c>
      <c r="DH20" s="2" t="str">
        <f t="shared" si="45"/>
        <v>on_completion = armour_practical</v>
      </c>
      <c r="DI20" s="2" t="str">
        <f t="shared" si="46"/>
        <v/>
      </c>
      <c r="DJ20" s="2" t="str">
        <f t="shared" si="47"/>
        <v>priority = 10</v>
      </c>
      <c r="DK20" s="2" t="str">
        <f t="shared" si="48"/>
        <v>radio_strength = 1</v>
      </c>
      <c r="DL20" s="2" t="str">
        <f t="shared" si="49"/>
        <v>repair_cost_multiplier = 0.05</v>
      </c>
      <c r="DM20" s="2" t="str">
        <f t="shared" si="50"/>
        <v>river = { attack = -0.05 }</v>
      </c>
      <c r="DN20" s="2" t="str">
        <f t="shared" si="51"/>
        <v>soft_attack = 1.67</v>
      </c>
      <c r="DO20" s="2" t="str">
        <f t="shared" si="52"/>
        <v>softness = 0.30</v>
      </c>
      <c r="DP20" s="2" t="str">
        <f t="shared" si="53"/>
        <v>sprite = Tank</v>
      </c>
      <c r="DQ20" s="2" t="str">
        <f t="shared" si="54"/>
        <v>supply_consumption = 3.1</v>
      </c>
      <c r="DR20" s="2" t="str">
        <f t="shared" si="55"/>
        <v>suppression = 0.33</v>
      </c>
      <c r="DS20" s="2" t="str">
        <f t="shared" si="56"/>
        <v>toughness = 2.33</v>
      </c>
      <c r="DT20" s="2" t="str">
        <f t="shared" si="57"/>
        <v>transport_weight = 15.00</v>
      </c>
      <c r="DU20" s="2" t="str">
        <f t="shared" si="58"/>
        <v>type = land</v>
      </c>
      <c r="DV20" s="2" t="str">
        <f t="shared" si="59"/>
        <v>unit_group = armor_unit_type</v>
      </c>
      <c r="DW20" s="2" t="str">
        <f t="shared" si="60"/>
        <v/>
      </c>
      <c r="DX20" s="2" t="str">
        <f t="shared" si="61"/>
        <v/>
      </c>
      <c r="DY20" s="2" t="s">
        <v>0</v>
      </c>
      <c r="DZ20" s="2" t="str">
        <f t="shared" si="63"/>
        <v xml:space="preserve">light_armor_brigade = {
forest = {
attack = -0.20
movement = -0.30
defence = -0.3
}
hills = {
attack = -0.05
movement = -0.05
defence = -0.2
}
jungle = {
attack = -0.30
movement = -0.30
defence = -0.5
}
marsh = {
attack = -0.30
movement = -0.70
defence = -0.5
}
mountain = {
attack = -0.20
movement = -0.30
defence = -0.60
}
urban = {
attack = -0.40
defence = -0.60
}
woods = {
attack = -0.05
movement = -0.10
defence = -0.2
}
active = no
air_attack = 0.33
air_defence = 1.00
amphibious = { attack = -0.60 }
ap_attack = 3
armor_value = 3
build_cost_ic = 8
build_cost_manpower = 0.78
build_time = 160
combat_width = 0
completion_size = 0.6
default_morale = 0.25
default_organisation = 20
defensiveness = 2.33
fuel_consumption = 1.5
hard_attack = 0.67
is_armor = yes
is_mobile = yes
max_strength = 10
maximum_speed = 5
officers = 100
on_completion = armour_practical
priority = 10
radio_strength = 1
repair_cost_multiplier = 0.05
river = { attack = -0.05 }
soft_attack = 1.67
softness = 0.30
sprite = Tank
supply_consumption = 3.1
suppression = 0.33
toughness = 2.33
transport_weight = 15.00
type = land
unit_group = armor_unit_type
}
</v>
      </c>
    </row>
    <row r="21" spans="1:130" x14ac:dyDescent="0.25">
      <c r="A21" s="2" t="str">
        <f t="shared" ca="1" si="64"/>
        <v>C:\Program Files (x86)\Paradox Interactive\Hearts of Iron III\tfh\mod\ww1tfh\units\marine_brigade.txt</v>
      </c>
      <c r="B21" s="2" t="s">
        <v>20</v>
      </c>
      <c r="C21" s="5" t="s">
        <v>243</v>
      </c>
      <c r="D21" s="5" t="s">
        <v>62</v>
      </c>
      <c r="E21" s="5" t="s">
        <v>62</v>
      </c>
      <c r="F21" s="5" t="s">
        <v>62</v>
      </c>
      <c r="G21" s="5" t="s">
        <v>62</v>
      </c>
      <c r="H21" s="5" t="s">
        <v>62</v>
      </c>
      <c r="I21" s="5" t="s">
        <v>62</v>
      </c>
      <c r="J21" s="5" t="s">
        <v>244</v>
      </c>
      <c r="K21" s="5" t="s">
        <v>245</v>
      </c>
      <c r="L21" s="5" t="s">
        <v>62</v>
      </c>
      <c r="M21" s="5" t="s">
        <v>62</v>
      </c>
      <c r="N21" s="5" t="s">
        <v>62</v>
      </c>
      <c r="O21" s="5" t="s">
        <v>205</v>
      </c>
      <c r="P21" s="5" t="s">
        <v>62</v>
      </c>
      <c r="Q21" s="5" t="s">
        <v>62</v>
      </c>
      <c r="R21" s="5" t="s">
        <v>90</v>
      </c>
      <c r="S21" s="5" t="s">
        <v>107</v>
      </c>
      <c r="T21" s="5" t="s">
        <v>101</v>
      </c>
      <c r="U21" s="5" t="s">
        <v>62</v>
      </c>
      <c r="V21" s="5" t="s">
        <v>196</v>
      </c>
      <c r="W21" s="5" t="s">
        <v>62</v>
      </c>
      <c r="X21" s="5" t="s">
        <v>62</v>
      </c>
      <c r="Y21" s="5">
        <v>7</v>
      </c>
      <c r="Z21" s="5">
        <v>9.33</v>
      </c>
      <c r="AA21" s="5" t="s">
        <v>103</v>
      </c>
      <c r="AB21" s="5"/>
      <c r="AC21" s="5">
        <v>2</v>
      </c>
      <c r="AD21" s="5" t="s">
        <v>104</v>
      </c>
      <c r="AE21" s="5">
        <v>0.35000000000000003</v>
      </c>
      <c r="AF21" s="5">
        <v>30</v>
      </c>
      <c r="AG21" s="5" t="s">
        <v>158</v>
      </c>
      <c r="AH21" s="5" t="s">
        <v>62</v>
      </c>
      <c r="AI21" s="5" t="s">
        <v>62</v>
      </c>
      <c r="AJ21" s="5" t="s">
        <v>106</v>
      </c>
      <c r="AK21" s="5" t="s">
        <v>107</v>
      </c>
      <c r="AL21" s="5" t="s">
        <v>62</v>
      </c>
      <c r="AM21" s="5" t="s">
        <v>62</v>
      </c>
      <c r="AN21" s="5" t="s">
        <v>62</v>
      </c>
      <c r="AO21" s="5" t="s">
        <v>62</v>
      </c>
      <c r="AP21" s="5" t="s">
        <v>62</v>
      </c>
      <c r="AQ21" s="5" t="s">
        <v>108</v>
      </c>
      <c r="AR21" s="5">
        <v>70</v>
      </c>
      <c r="AS21" s="5" t="s">
        <v>109</v>
      </c>
      <c r="AT21" s="5" t="s">
        <v>110</v>
      </c>
      <c r="AU21" s="5">
        <v>250</v>
      </c>
      <c r="AV21" s="5" t="s">
        <v>111</v>
      </c>
      <c r="AW21" s="5" t="s">
        <v>62</v>
      </c>
      <c r="AX21" s="5" t="s">
        <v>197</v>
      </c>
      <c r="AY21" s="5" t="s">
        <v>102</v>
      </c>
      <c r="AZ21" s="5" t="s">
        <v>113</v>
      </c>
      <c r="BA21" s="5" t="s">
        <v>62</v>
      </c>
      <c r="BB21" s="5" t="s">
        <v>114</v>
      </c>
      <c r="BC21" s="5" t="s">
        <v>115</v>
      </c>
      <c r="BD21" s="5" t="s">
        <v>143</v>
      </c>
      <c r="BE21" s="5">
        <v>1.87</v>
      </c>
      <c r="BF21" s="5">
        <v>1.34</v>
      </c>
      <c r="BG21" s="6">
        <v>2.57</v>
      </c>
      <c r="BH21" s="5">
        <v>20</v>
      </c>
      <c r="BI21" s="5" t="s">
        <v>117</v>
      </c>
      <c r="BJ21" s="5" t="s">
        <v>118</v>
      </c>
      <c r="BK21" s="5"/>
      <c r="BL21" s="5" t="s">
        <v>62</v>
      </c>
      <c r="BN21" s="2" t="str">
        <f t="shared" si="0"/>
        <v>marine_brigade = {</v>
      </c>
      <c r="BO21" s="2" t="str">
        <f t="shared" si="62"/>
        <v xml:space="preserve">
amphibious = {
attack = 0.50
}</v>
      </c>
      <c r="BP21" s="2" t="str">
        <f t="shared" si="1"/>
        <v/>
      </c>
      <c r="BQ21" s="2" t="str">
        <f t="shared" si="2"/>
        <v/>
      </c>
      <c r="BR21" s="2" t="str">
        <f t="shared" si="3"/>
        <v/>
      </c>
      <c r="BS21" s="2" t="str">
        <f t="shared" si="4"/>
        <v/>
      </c>
      <c r="BT21" s="2" t="str">
        <f t="shared" si="5"/>
        <v/>
      </c>
      <c r="BU21" s="2" t="str">
        <f t="shared" si="6"/>
        <v/>
      </c>
      <c r="BV21" s="2" t="str">
        <f t="shared" si="7"/>
        <v xml:space="preserve">
jungle = {
attack = 0.25
defence = 0.25
movement = 0.25
}</v>
      </c>
      <c r="BW21" s="2" t="str">
        <f t="shared" si="8"/>
        <v xml:space="preserve">
marsh = {
attack = 0.3
}</v>
      </c>
      <c r="BX21" s="2" t="str">
        <f t="shared" si="9"/>
        <v/>
      </c>
      <c r="BY21" s="2" t="str">
        <f t="shared" si="10"/>
        <v/>
      </c>
      <c r="BZ21" s="2" t="str">
        <f t="shared" si="11"/>
        <v/>
      </c>
      <c r="CA21" s="2" t="str">
        <f t="shared" si="12"/>
        <v xml:space="preserve">
river = {
attack = 0.40
}</v>
      </c>
      <c r="CB21" s="2" t="str">
        <f t="shared" si="13"/>
        <v/>
      </c>
      <c r="CC21" s="2" t="str">
        <f t="shared" si="14"/>
        <v/>
      </c>
      <c r="CD21" s="2" t="str">
        <f t="shared" si="15"/>
        <v>active = no</v>
      </c>
      <c r="CE21" s="2" t="str">
        <f t="shared" si="16"/>
        <v>air_attack = 0.33</v>
      </c>
      <c r="CF21" s="2" t="str">
        <f t="shared" si="17"/>
        <v>air_defence = 2.50</v>
      </c>
      <c r="CG21" s="2" t="str">
        <f t="shared" si="18"/>
        <v/>
      </c>
      <c r="CH21" s="2" t="str">
        <f t="shared" si="19"/>
        <v>ap_attack = 0.5</v>
      </c>
      <c r="CI21" s="2" t="str">
        <f t="shared" si="20"/>
        <v/>
      </c>
      <c r="CJ21" s="2" t="str">
        <f t="shared" si="21"/>
        <v/>
      </c>
      <c r="CK21" s="2" t="str">
        <f t="shared" si="22"/>
        <v>build_cost_ic = 7</v>
      </c>
      <c r="CL21" s="2" t="str">
        <f t="shared" si="23"/>
        <v>build_cost_manpower = 9.33</v>
      </c>
      <c r="CM21" s="2" t="str">
        <f t="shared" si="24"/>
        <v>build_time = 160</v>
      </c>
      <c r="CN21" s="2" t="str">
        <f t="shared" si="25"/>
        <v/>
      </c>
      <c r="CO21" s="2" t="str">
        <f t="shared" si="26"/>
        <v>combat_width = 2</v>
      </c>
      <c r="CP21" s="2" t="str">
        <f t="shared" si="27"/>
        <v>completion_size = 0.3</v>
      </c>
      <c r="CQ21" s="2" t="str">
        <f t="shared" si="28"/>
        <v>default_morale = 0.35</v>
      </c>
      <c r="CR21" s="2" t="str">
        <f t="shared" si="29"/>
        <v>default_organisation = 30</v>
      </c>
      <c r="CS21" s="2" t="str">
        <f t="shared" si="30"/>
        <v>defensiveness = 3.50</v>
      </c>
      <c r="CT21" s="2" t="str">
        <f t="shared" si="31"/>
        <v/>
      </c>
      <c r="CU21" s="2" t="str">
        <f t="shared" si="32"/>
        <v/>
      </c>
      <c r="CV21" s="2" t="str">
        <f t="shared" si="33"/>
        <v>fuel_consumption = 0.00</v>
      </c>
      <c r="CW21" s="2" t="str">
        <f t="shared" si="34"/>
        <v>hard_attack = 0.33</v>
      </c>
      <c r="CX21" s="2" t="str">
        <f t="shared" si="35"/>
        <v/>
      </c>
      <c r="CY21" s="2" t="str">
        <f t="shared" si="36"/>
        <v/>
      </c>
      <c r="CZ21" s="2" t="str">
        <f t="shared" si="37"/>
        <v/>
      </c>
      <c r="DA21" s="2" t="str">
        <f t="shared" si="38"/>
        <v/>
      </c>
      <c r="DB21" s="2" t="str">
        <f t="shared" si="39"/>
        <v/>
      </c>
      <c r="DC21" s="2" t="str">
        <f t="shared" si="40"/>
        <v>max_percentage_of_type = 0.04</v>
      </c>
      <c r="DD21" s="2" t="str">
        <f t="shared" si="41"/>
        <v>max_strength = 70</v>
      </c>
      <c r="DE21" s="2" t="str">
        <f t="shared" si="42"/>
        <v>maximum_speed = 4.33</v>
      </c>
      <c r="DF21" s="2" t="str">
        <f t="shared" si="43"/>
        <v>minimum_of_type = 6</v>
      </c>
      <c r="DG21" s="2" t="str">
        <f t="shared" si="44"/>
        <v>officers = 250</v>
      </c>
      <c r="DH21" s="2" t="str">
        <f t="shared" si="45"/>
        <v>on_completion = infantry_practical</v>
      </c>
      <c r="DI21" s="2" t="str">
        <f t="shared" si="46"/>
        <v/>
      </c>
      <c r="DJ21" s="2" t="str">
        <f t="shared" si="47"/>
        <v>priority = 8</v>
      </c>
      <c r="DK21" s="2" t="str">
        <f t="shared" si="48"/>
        <v>radio_strength = 1</v>
      </c>
      <c r="DL21" s="2" t="str">
        <f t="shared" si="49"/>
        <v>repair_cost_multiplier = 0.05</v>
      </c>
      <c r="DM21" s="2" t="str">
        <f t="shared" si="50"/>
        <v/>
      </c>
      <c r="DN21" s="2" t="str">
        <f t="shared" si="51"/>
        <v>soft_attack = 1.67</v>
      </c>
      <c r="DO21" s="2" t="str">
        <f t="shared" si="52"/>
        <v>softness = 1.00</v>
      </c>
      <c r="DP21" s="2" t="str">
        <f t="shared" si="53"/>
        <v>sprite = Infantry</v>
      </c>
      <c r="DQ21" s="2" t="str">
        <f t="shared" si="54"/>
        <v>supply_consumption = 1.87</v>
      </c>
      <c r="DR21" s="2" t="str">
        <f t="shared" si="55"/>
        <v>suppression = 1.34</v>
      </c>
      <c r="DS21" s="2" t="str">
        <f t="shared" si="56"/>
        <v>toughness = 2.57</v>
      </c>
      <c r="DT21" s="2" t="str">
        <f t="shared" si="57"/>
        <v>transport_weight = 20</v>
      </c>
      <c r="DU21" s="2" t="str">
        <f t="shared" si="58"/>
        <v>type = land</v>
      </c>
      <c r="DV21" s="2" t="str">
        <f t="shared" si="59"/>
        <v>unit_group = infantry_unit_type</v>
      </c>
      <c r="DW21" s="2" t="str">
        <f t="shared" si="60"/>
        <v/>
      </c>
      <c r="DX21" s="2" t="str">
        <f t="shared" si="61"/>
        <v/>
      </c>
      <c r="DY21" s="2" t="s">
        <v>0</v>
      </c>
      <c r="DZ21" s="2" t="str">
        <f t="shared" si="63"/>
        <v xml:space="preserve">marine_brigade = {
amphibious = {
attack = 0.50
}
jungle = {
attack = 0.25
defence = 0.25
movement = 0.25
}
marsh = {
attack = 0.3
}
river = {
attack = 0.40
}
active = no
air_attack = 0.33
air_defence = 2.50
ap_attack = 0.5
build_cost_ic = 7
build_cost_manpower = 9.33
build_time = 160
combat_width = 2
completion_size = 0.3
default_morale = 0.35
default_organisation = 30
defensiveness = 3.50
fuel_consumption = 0.00
hard_attack = 0.33
max_percentage_of_type = 0.04
max_strength = 70
maximum_speed = 4.33
minimum_of_type = 6
officers = 250
on_completion = infantry_practical
priority = 8
radio_strength = 1
repair_cost_multiplier = 0.05
soft_attack = 1.67
softness = 1.00
sprite = Infantry
supply_consumption = 1.87
suppression = 1.34
toughness = 2.57
transport_weight = 20
type = land
unit_group = infantry_unit_type
}
</v>
      </c>
    </row>
    <row r="22" spans="1:130" x14ac:dyDescent="0.25">
      <c r="A22" s="2" t="str">
        <f t="shared" ca="1" si="64"/>
        <v>C:\Program Files (x86)\Paradox Interactive\Hearts of Iron III\tfh\mod\ww1tfh\units\militia_brigade.txt</v>
      </c>
      <c r="B22" s="2" t="s">
        <v>21</v>
      </c>
      <c r="C22" s="5" t="s">
        <v>62</v>
      </c>
      <c r="D22" s="5" t="s">
        <v>62</v>
      </c>
      <c r="E22" s="5" t="s">
        <v>62</v>
      </c>
      <c r="F22" s="5" t="s">
        <v>62</v>
      </c>
      <c r="G22" s="5" t="s">
        <v>62</v>
      </c>
      <c r="H22" s="5" t="s">
        <v>62</v>
      </c>
      <c r="I22" s="5" t="s">
        <v>62</v>
      </c>
      <c r="J22" s="5" t="s">
        <v>62</v>
      </c>
      <c r="K22" s="5" t="s">
        <v>62</v>
      </c>
      <c r="L22" s="5" t="s">
        <v>62</v>
      </c>
      <c r="M22" s="5" t="s">
        <v>62</v>
      </c>
      <c r="N22" s="5" t="s">
        <v>62</v>
      </c>
      <c r="O22" s="5" t="s">
        <v>62</v>
      </c>
      <c r="P22" s="5" t="s">
        <v>246</v>
      </c>
      <c r="Q22" s="5" t="s">
        <v>62</v>
      </c>
      <c r="R22" s="5" t="s">
        <v>62</v>
      </c>
      <c r="S22" s="5" t="s">
        <v>106</v>
      </c>
      <c r="T22" s="5" t="s">
        <v>135</v>
      </c>
      <c r="U22" s="5" t="s">
        <v>213</v>
      </c>
      <c r="V22" s="5" t="s">
        <v>62</v>
      </c>
      <c r="W22" s="5" t="s">
        <v>62</v>
      </c>
      <c r="X22" s="5" t="s">
        <v>62</v>
      </c>
      <c r="Y22" s="5">
        <v>3.1</v>
      </c>
      <c r="Z22" s="5">
        <v>4.67</v>
      </c>
      <c r="AA22" s="5" t="s">
        <v>247</v>
      </c>
      <c r="AB22" s="5"/>
      <c r="AC22" s="5">
        <v>2</v>
      </c>
      <c r="AD22" s="5" t="s">
        <v>248</v>
      </c>
      <c r="AE22" s="5">
        <v>0.15000000000000002</v>
      </c>
      <c r="AF22" s="5">
        <v>15</v>
      </c>
      <c r="AG22" s="5" t="s">
        <v>147</v>
      </c>
      <c r="AH22" s="5" t="s">
        <v>249</v>
      </c>
      <c r="AI22" s="5" t="s">
        <v>62</v>
      </c>
      <c r="AJ22" s="5" t="s">
        <v>106</v>
      </c>
      <c r="AK22" s="5" t="s">
        <v>106</v>
      </c>
      <c r="AL22" s="5" t="s">
        <v>250</v>
      </c>
      <c r="AM22" s="5" t="s">
        <v>62</v>
      </c>
      <c r="AN22" s="5" t="s">
        <v>62</v>
      </c>
      <c r="AO22" s="5" t="s">
        <v>62</v>
      </c>
      <c r="AP22" s="5" t="s">
        <v>251</v>
      </c>
      <c r="AQ22" s="5" t="s">
        <v>62</v>
      </c>
      <c r="AR22" s="5">
        <v>70</v>
      </c>
      <c r="AS22" s="5" t="s">
        <v>147</v>
      </c>
      <c r="AT22" s="5" t="s">
        <v>62</v>
      </c>
      <c r="AU22" s="5">
        <v>20</v>
      </c>
      <c r="AV22" s="5" t="s">
        <v>215</v>
      </c>
      <c r="AW22" s="5" t="s">
        <v>62</v>
      </c>
      <c r="AX22" s="5" t="s">
        <v>110</v>
      </c>
      <c r="AY22" s="5" t="s">
        <v>102</v>
      </c>
      <c r="AZ22" s="5" t="s">
        <v>113</v>
      </c>
      <c r="BA22" s="5" t="s">
        <v>200</v>
      </c>
      <c r="BB22" s="5" t="s">
        <v>191</v>
      </c>
      <c r="BC22" s="5" t="s">
        <v>115</v>
      </c>
      <c r="BD22" s="5" t="s">
        <v>143</v>
      </c>
      <c r="BE22" s="5">
        <v>0.47</v>
      </c>
      <c r="BF22" s="5">
        <v>0.66</v>
      </c>
      <c r="BG22" s="6">
        <v>0.47</v>
      </c>
      <c r="BH22" s="5">
        <v>10</v>
      </c>
      <c r="BI22" s="5" t="s">
        <v>117</v>
      </c>
      <c r="BJ22" s="5" t="s">
        <v>62</v>
      </c>
      <c r="BK22" s="5"/>
      <c r="BL22" s="5" t="s">
        <v>62</v>
      </c>
      <c r="BN22" s="2" t="str">
        <f t="shared" si="0"/>
        <v>militia_brigade = {</v>
      </c>
      <c r="BO22" s="2" t="str">
        <f t="shared" si="62"/>
        <v/>
      </c>
      <c r="BP22" s="2" t="str">
        <f t="shared" si="1"/>
        <v/>
      </c>
      <c r="BQ22" s="2" t="str">
        <f t="shared" si="2"/>
        <v/>
      </c>
      <c r="BR22" s="2" t="str">
        <f t="shared" si="3"/>
        <v/>
      </c>
      <c r="BS22" s="2" t="str">
        <f t="shared" si="4"/>
        <v/>
      </c>
      <c r="BT22" s="2" t="str">
        <f t="shared" si="5"/>
        <v/>
      </c>
      <c r="BU22" s="2" t="str">
        <f t="shared" si="6"/>
        <v/>
      </c>
      <c r="BV22" s="2" t="str">
        <f t="shared" si="7"/>
        <v/>
      </c>
      <c r="BW22" s="2" t="str">
        <f t="shared" si="8"/>
        <v/>
      </c>
      <c r="BX22" s="2" t="str">
        <f t="shared" si="9"/>
        <v/>
      </c>
      <c r="BY22" s="2" t="str">
        <f t="shared" si="10"/>
        <v/>
      </c>
      <c r="BZ22" s="2" t="str">
        <f t="shared" si="11"/>
        <v/>
      </c>
      <c r="CA22" s="2" t="str">
        <f t="shared" si="12"/>
        <v/>
      </c>
      <c r="CB22" s="2" t="str">
        <f t="shared" si="13"/>
        <v xml:space="preserve">
urban = {
attack = 0.05
defence = 0.15
}</v>
      </c>
      <c r="CC22" s="2" t="str">
        <f t="shared" si="14"/>
        <v/>
      </c>
      <c r="CD22" s="2" t="str">
        <f t="shared" si="15"/>
        <v/>
      </c>
      <c r="CE22" s="2" t="str">
        <f t="shared" si="16"/>
        <v>air_attack = 0.00</v>
      </c>
      <c r="CF22" s="2" t="str">
        <f t="shared" si="17"/>
        <v>air_defence = 2.00</v>
      </c>
      <c r="CG22" s="2" t="str">
        <f t="shared" si="18"/>
        <v>amphibious = { attack = -0.20 }</v>
      </c>
      <c r="CH22" s="2" t="str">
        <f t="shared" si="19"/>
        <v/>
      </c>
      <c r="CI22" s="2" t="str">
        <f t="shared" si="20"/>
        <v/>
      </c>
      <c r="CJ22" s="2" t="str">
        <f t="shared" si="21"/>
        <v/>
      </c>
      <c r="CK22" s="2" t="str">
        <f t="shared" si="22"/>
        <v>build_cost_ic = 3.1</v>
      </c>
      <c r="CL22" s="2" t="str">
        <f t="shared" si="23"/>
        <v>build_cost_manpower = 4.67</v>
      </c>
      <c r="CM22" s="2" t="str">
        <f t="shared" si="24"/>
        <v>build_time = 50</v>
      </c>
      <c r="CN22" s="2" t="str">
        <f t="shared" si="25"/>
        <v/>
      </c>
      <c r="CO22" s="2" t="str">
        <f t="shared" si="26"/>
        <v>combat_width = 2</v>
      </c>
      <c r="CP22" s="2" t="str">
        <f t="shared" si="27"/>
        <v>completion_size = 0.1</v>
      </c>
      <c r="CQ22" s="2" t="str">
        <f t="shared" si="28"/>
        <v>default_morale = 0.15</v>
      </c>
      <c r="CR22" s="2" t="str">
        <f t="shared" si="29"/>
        <v>default_organisation = 15</v>
      </c>
      <c r="CS22" s="2" t="str">
        <f t="shared" si="30"/>
        <v>defensiveness = 3.00</v>
      </c>
      <c r="CT22" s="2" t="str">
        <f t="shared" si="31"/>
        <v>forest = { defence = 0.10 }</v>
      </c>
      <c r="CU22" s="2" t="str">
        <f t="shared" si="32"/>
        <v/>
      </c>
      <c r="CV22" s="2" t="str">
        <f t="shared" si="33"/>
        <v>fuel_consumption = 0.00</v>
      </c>
      <c r="CW22" s="2" t="str">
        <f t="shared" si="34"/>
        <v>hard_attack = 0.00</v>
      </c>
      <c r="CX22" s="2" t="str">
        <f t="shared" si="35"/>
        <v>hills = { defence = 0.05 }</v>
      </c>
      <c r="CY22" s="2" t="str">
        <f t="shared" si="36"/>
        <v/>
      </c>
      <c r="CZ22" s="2" t="str">
        <f t="shared" si="37"/>
        <v/>
      </c>
      <c r="DA22" s="2" t="str">
        <f t="shared" si="38"/>
        <v/>
      </c>
      <c r="DB22" s="2" t="str">
        <f t="shared" si="39"/>
        <v>jungle = { defence = 0.15 }</v>
      </c>
      <c r="DC22" s="2" t="str">
        <f t="shared" si="40"/>
        <v/>
      </c>
      <c r="DD22" s="2" t="str">
        <f t="shared" si="41"/>
        <v>max_strength = 70</v>
      </c>
      <c r="DE22" s="2" t="str">
        <f t="shared" si="42"/>
        <v>maximum_speed = 3.00</v>
      </c>
      <c r="DF22" s="2" t="str">
        <f t="shared" si="43"/>
        <v/>
      </c>
      <c r="DG22" s="2" t="str">
        <f t="shared" si="44"/>
        <v>officers = 20</v>
      </c>
      <c r="DH22" s="2" t="str">
        <f t="shared" si="45"/>
        <v>on_completion = militia_practical</v>
      </c>
      <c r="DI22" s="2" t="str">
        <f t="shared" si="46"/>
        <v/>
      </c>
      <c r="DJ22" s="2" t="str">
        <f t="shared" si="47"/>
        <v>priority = 6</v>
      </c>
      <c r="DK22" s="2" t="str">
        <f t="shared" si="48"/>
        <v>radio_strength = 1</v>
      </c>
      <c r="DL22" s="2" t="str">
        <f t="shared" si="49"/>
        <v>repair_cost_multiplier = 0.05</v>
      </c>
      <c r="DM22" s="2" t="str">
        <f t="shared" si="50"/>
        <v>river = { attack = -0.10 }</v>
      </c>
      <c r="DN22" s="2" t="str">
        <f t="shared" si="51"/>
        <v>soft_attack = 0.67</v>
      </c>
      <c r="DO22" s="2" t="str">
        <f t="shared" si="52"/>
        <v>softness = 1.00</v>
      </c>
      <c r="DP22" s="2" t="str">
        <f t="shared" si="53"/>
        <v>sprite = Infantry</v>
      </c>
      <c r="DQ22" s="2" t="str">
        <f t="shared" si="54"/>
        <v>supply_consumption = 0.47</v>
      </c>
      <c r="DR22" s="2" t="str">
        <f t="shared" si="55"/>
        <v>suppression = 0.66</v>
      </c>
      <c r="DS22" s="2" t="str">
        <f t="shared" si="56"/>
        <v>toughness = 0.47</v>
      </c>
      <c r="DT22" s="2" t="str">
        <f t="shared" si="57"/>
        <v>transport_weight = 10</v>
      </c>
      <c r="DU22" s="2" t="str">
        <f t="shared" si="58"/>
        <v>type = land</v>
      </c>
      <c r="DV22" s="2" t="str">
        <f t="shared" si="59"/>
        <v/>
      </c>
      <c r="DW22" s="2" t="str">
        <f t="shared" si="60"/>
        <v/>
      </c>
      <c r="DX22" s="2" t="str">
        <f t="shared" si="61"/>
        <v/>
      </c>
      <c r="DY22" s="2" t="s">
        <v>0</v>
      </c>
      <c r="DZ22" s="2" t="str">
        <f t="shared" si="63"/>
        <v xml:space="preserve">militia_brigade = {
urban = {
attack = 0.05
defence = 0.15
}
air_attack = 0.00
air_defence = 2.00
amphibious = { attack = -0.20 }
build_cost_ic = 3.1
build_cost_manpower = 4.67
build_time = 50
combat_width = 2
completion_size = 0.1
default_morale = 0.15
default_organisation = 15
defensiveness = 3.00
forest = { defence = 0.10 }
fuel_consumption = 0.00
hard_attack = 0.00
hills = { defence = 0.05 }
jungle = { defence = 0.15 }
max_strength = 70
maximum_speed = 3.00
officers = 20
on_completion = militia_practical
priority = 6
radio_strength = 1
repair_cost_multiplier = 0.05
river = { attack = -0.10 }
soft_attack = 0.67
softness = 1.00
sprite = Infantry
supply_consumption = 0.47
suppression = 0.66
toughness = 0.47
transport_weight = 10
type = land
}
</v>
      </c>
    </row>
    <row r="23" spans="1:130" x14ac:dyDescent="0.25">
      <c r="A23" s="2" t="str">
        <f t="shared" ca="1" si="64"/>
        <v>C:\Program Files (x86)\Paradox Interactive\Hearts of Iron III\tfh\mod\ww1tfh\units\partisan_brigade.txt</v>
      </c>
      <c r="B23" s="2" t="s">
        <v>22</v>
      </c>
      <c r="C23" s="5" t="s">
        <v>62</v>
      </c>
      <c r="D23" s="5" t="s">
        <v>62</v>
      </c>
      <c r="E23" s="5" t="s">
        <v>62</v>
      </c>
      <c r="F23" s="5" t="s">
        <v>62</v>
      </c>
      <c r="G23" s="5" t="s">
        <v>62</v>
      </c>
      <c r="H23" s="5" t="s">
        <v>62</v>
      </c>
      <c r="I23" s="5" t="s">
        <v>62</v>
      </c>
      <c r="J23" s="5" t="s">
        <v>62</v>
      </c>
      <c r="K23" s="5" t="s">
        <v>62</v>
      </c>
      <c r="L23" s="5" t="s">
        <v>62</v>
      </c>
      <c r="M23" s="5" t="s">
        <v>62</v>
      </c>
      <c r="N23" s="5" t="s">
        <v>62</v>
      </c>
      <c r="O23" s="5" t="s">
        <v>62</v>
      </c>
      <c r="P23" s="5"/>
      <c r="Q23" s="5" t="s">
        <v>62</v>
      </c>
      <c r="R23" s="5" t="s">
        <v>62</v>
      </c>
      <c r="S23" s="5" t="s">
        <v>106</v>
      </c>
      <c r="T23" s="5" t="s">
        <v>115</v>
      </c>
      <c r="U23" s="5" t="s">
        <v>252</v>
      </c>
      <c r="V23" s="5" t="s">
        <v>196</v>
      </c>
      <c r="W23" s="5" t="s">
        <v>62</v>
      </c>
      <c r="X23" s="5" t="s">
        <v>62</v>
      </c>
      <c r="Y23" s="5">
        <v>2.2200000000000002</v>
      </c>
      <c r="Z23" s="5">
        <v>4.67</v>
      </c>
      <c r="AA23" s="5" t="s">
        <v>247</v>
      </c>
      <c r="AB23" s="5"/>
      <c r="AC23" s="5">
        <v>2</v>
      </c>
      <c r="AD23" s="5" t="s">
        <v>248</v>
      </c>
      <c r="AE23" s="5">
        <v>0.15000000000000002</v>
      </c>
      <c r="AF23" s="5">
        <v>15</v>
      </c>
      <c r="AG23" s="5" t="s">
        <v>147</v>
      </c>
      <c r="AH23" s="5" t="s">
        <v>251</v>
      </c>
      <c r="AI23" s="5" t="s">
        <v>62</v>
      </c>
      <c r="AJ23" s="5" t="s">
        <v>106</v>
      </c>
      <c r="AK23" s="5" t="s">
        <v>106</v>
      </c>
      <c r="AL23" s="5" t="s">
        <v>249</v>
      </c>
      <c r="AM23" s="5" t="s">
        <v>62</v>
      </c>
      <c r="AN23" s="5" t="s">
        <v>90</v>
      </c>
      <c r="AO23" s="5" t="s">
        <v>62</v>
      </c>
      <c r="AP23" s="5" t="s">
        <v>253</v>
      </c>
      <c r="AQ23" s="5" t="s">
        <v>62</v>
      </c>
      <c r="AR23" s="5">
        <v>70</v>
      </c>
      <c r="AS23" s="5" t="s">
        <v>147</v>
      </c>
      <c r="AT23" s="5" t="s">
        <v>62</v>
      </c>
      <c r="AU23" s="5">
        <v>20</v>
      </c>
      <c r="AV23" s="5" t="s">
        <v>215</v>
      </c>
      <c r="AW23" s="5" t="s">
        <v>62</v>
      </c>
      <c r="AX23" s="5" t="s">
        <v>110</v>
      </c>
      <c r="AY23" s="5" t="s">
        <v>102</v>
      </c>
      <c r="AZ23" s="5" t="s">
        <v>113</v>
      </c>
      <c r="BA23" s="5" t="s">
        <v>254</v>
      </c>
      <c r="BB23" s="5" t="s">
        <v>191</v>
      </c>
      <c r="BC23" s="5" t="s">
        <v>115</v>
      </c>
      <c r="BD23" s="5" t="s">
        <v>143</v>
      </c>
      <c r="BE23" s="5">
        <v>0</v>
      </c>
      <c r="BF23" s="5" t="s">
        <v>107</v>
      </c>
      <c r="BG23" s="6">
        <v>0.47</v>
      </c>
      <c r="BH23" s="5" t="s">
        <v>129</v>
      </c>
      <c r="BI23" s="5" t="s">
        <v>117</v>
      </c>
      <c r="BJ23" s="5" t="s">
        <v>118</v>
      </c>
      <c r="BK23" s="5"/>
      <c r="BL23" s="5" t="s">
        <v>62</v>
      </c>
      <c r="BN23" s="2" t="str">
        <f t="shared" si="0"/>
        <v>partisan_brigade = {</v>
      </c>
      <c r="BO23" s="2" t="str">
        <f t="shared" si="62"/>
        <v/>
      </c>
      <c r="BP23" s="2" t="str">
        <f t="shared" si="1"/>
        <v/>
      </c>
      <c r="BQ23" s="2" t="str">
        <f t="shared" si="2"/>
        <v/>
      </c>
      <c r="BR23" s="2" t="str">
        <f t="shared" si="3"/>
        <v/>
      </c>
      <c r="BS23" s="2" t="str">
        <f t="shared" si="4"/>
        <v/>
      </c>
      <c r="BT23" s="2" t="str">
        <f t="shared" si="5"/>
        <v/>
      </c>
      <c r="BU23" s="2" t="str">
        <f t="shared" si="6"/>
        <v/>
      </c>
      <c r="BV23" s="2" t="str">
        <f t="shared" si="7"/>
        <v/>
      </c>
      <c r="BW23" s="2" t="str">
        <f t="shared" si="8"/>
        <v/>
      </c>
      <c r="BX23" s="2" t="str">
        <f t="shared" si="9"/>
        <v/>
      </c>
      <c r="BY23" s="2" t="str">
        <f t="shared" si="10"/>
        <v/>
      </c>
      <c r="BZ23" s="2" t="str">
        <f t="shared" si="11"/>
        <v/>
      </c>
      <c r="CA23" s="2" t="str">
        <f t="shared" si="12"/>
        <v/>
      </c>
      <c r="CB23" s="2" t="str">
        <f t="shared" si="13"/>
        <v/>
      </c>
      <c r="CC23" s="2" t="str">
        <f t="shared" si="14"/>
        <v/>
      </c>
      <c r="CD23" s="2" t="str">
        <f t="shared" si="15"/>
        <v/>
      </c>
      <c r="CE23" s="2" t="str">
        <f t="shared" si="16"/>
        <v>air_attack = 0.00</v>
      </c>
      <c r="CF23" s="2" t="str">
        <f t="shared" si="17"/>
        <v>air_defence = 1.00</v>
      </c>
      <c r="CG23" s="2" t="str">
        <f t="shared" si="18"/>
        <v>amphibious = { attack = -0.25 }</v>
      </c>
      <c r="CH23" s="2" t="str">
        <f t="shared" si="19"/>
        <v>ap_attack = 0.5</v>
      </c>
      <c r="CI23" s="2" t="str">
        <f t="shared" si="20"/>
        <v/>
      </c>
      <c r="CJ23" s="2" t="str">
        <f t="shared" si="21"/>
        <v/>
      </c>
      <c r="CK23" s="2" t="str">
        <f t="shared" si="22"/>
        <v>build_cost_ic = 2.22</v>
      </c>
      <c r="CL23" s="2" t="str">
        <f t="shared" si="23"/>
        <v>build_cost_manpower = 4.67</v>
      </c>
      <c r="CM23" s="2" t="str">
        <f t="shared" si="24"/>
        <v>build_time = 50</v>
      </c>
      <c r="CN23" s="2" t="str">
        <f t="shared" si="25"/>
        <v/>
      </c>
      <c r="CO23" s="2" t="str">
        <f t="shared" si="26"/>
        <v>combat_width = 2</v>
      </c>
      <c r="CP23" s="2" t="str">
        <f t="shared" si="27"/>
        <v>completion_size = 0.1</v>
      </c>
      <c r="CQ23" s="2" t="str">
        <f t="shared" si="28"/>
        <v>default_morale = 0.15</v>
      </c>
      <c r="CR23" s="2" t="str">
        <f t="shared" si="29"/>
        <v>default_organisation = 15</v>
      </c>
      <c r="CS23" s="2" t="str">
        <f t="shared" si="30"/>
        <v>defensiveness = 3.00</v>
      </c>
      <c r="CT23" s="2" t="str">
        <f t="shared" si="31"/>
        <v>forest = { defence = 0.15 }</v>
      </c>
      <c r="CU23" s="2" t="str">
        <f t="shared" si="32"/>
        <v/>
      </c>
      <c r="CV23" s="2" t="str">
        <f t="shared" si="33"/>
        <v>fuel_consumption = 0.00</v>
      </c>
      <c r="CW23" s="2" t="str">
        <f t="shared" si="34"/>
        <v>hard_attack = 0.00</v>
      </c>
      <c r="CX23" s="2" t="str">
        <f t="shared" si="35"/>
        <v>hills = { defence = 0.10 }</v>
      </c>
      <c r="CY23" s="2" t="str">
        <f t="shared" si="36"/>
        <v/>
      </c>
      <c r="CZ23" s="2" t="str">
        <f t="shared" si="37"/>
        <v>is_buildable = no</v>
      </c>
      <c r="DA23" s="2" t="str">
        <f t="shared" si="38"/>
        <v/>
      </c>
      <c r="DB23" s="2" t="str">
        <f t="shared" si="39"/>
        <v>jungle = { defence = 0.20 }</v>
      </c>
      <c r="DC23" s="2" t="str">
        <f t="shared" si="40"/>
        <v/>
      </c>
      <c r="DD23" s="2" t="str">
        <f t="shared" si="41"/>
        <v>max_strength = 70</v>
      </c>
      <c r="DE23" s="2" t="str">
        <f t="shared" si="42"/>
        <v>maximum_speed = 3.00</v>
      </c>
      <c r="DF23" s="2" t="str">
        <f t="shared" si="43"/>
        <v/>
      </c>
      <c r="DG23" s="2" t="str">
        <f t="shared" si="44"/>
        <v>officers = 20</v>
      </c>
      <c r="DH23" s="2" t="str">
        <f t="shared" si="45"/>
        <v>on_completion = militia_practical</v>
      </c>
      <c r="DI23" s="2" t="str">
        <f t="shared" si="46"/>
        <v/>
      </c>
      <c r="DJ23" s="2" t="str">
        <f t="shared" si="47"/>
        <v>priority = 6</v>
      </c>
      <c r="DK23" s="2" t="str">
        <f t="shared" si="48"/>
        <v>radio_strength = 1</v>
      </c>
      <c r="DL23" s="2" t="str">
        <f t="shared" si="49"/>
        <v>repair_cost_multiplier = 0.05</v>
      </c>
      <c r="DM23" s="2" t="str">
        <f t="shared" si="50"/>
        <v>river = { attack = -0.15 }</v>
      </c>
      <c r="DN23" s="2" t="str">
        <f t="shared" si="51"/>
        <v>soft_attack = 0.67</v>
      </c>
      <c r="DO23" s="2" t="str">
        <f t="shared" si="52"/>
        <v>softness = 1.00</v>
      </c>
      <c r="DP23" s="2" t="str">
        <f t="shared" si="53"/>
        <v>sprite = Infantry</v>
      </c>
      <c r="DQ23" s="2" t="str">
        <f t="shared" si="54"/>
        <v>supply_consumption = 0</v>
      </c>
      <c r="DR23" s="2" t="str">
        <f t="shared" si="55"/>
        <v>suppression = 0.33</v>
      </c>
      <c r="DS23" s="2" t="str">
        <f t="shared" si="56"/>
        <v>toughness = 0.47</v>
      </c>
      <c r="DT23" s="2" t="str">
        <f t="shared" si="57"/>
        <v>transport_weight = 5.00</v>
      </c>
      <c r="DU23" s="2" t="str">
        <f t="shared" si="58"/>
        <v>type = land</v>
      </c>
      <c r="DV23" s="2" t="str">
        <f t="shared" si="59"/>
        <v>unit_group = infantry_unit_type</v>
      </c>
      <c r="DW23" s="2" t="str">
        <f t="shared" si="60"/>
        <v/>
      </c>
      <c r="DX23" s="2" t="str">
        <f t="shared" si="61"/>
        <v/>
      </c>
      <c r="DY23" s="2" t="s">
        <v>0</v>
      </c>
      <c r="DZ23" s="2" t="str">
        <f t="shared" si="63"/>
        <v xml:space="preserve">partisan_brigade = {
air_attack = 0.00
air_defence = 1.00
amphibious = { attack = -0.25 }
ap_attack = 0.5
build_cost_ic = 2.22
build_cost_manpower = 4.67
build_time = 50
combat_width = 2
completion_size = 0.1
default_morale = 0.15
default_organisation = 15
defensiveness = 3.00
forest = { defence = 0.15 }
fuel_consumption = 0.00
hard_attack = 0.00
hills = { defence = 0.10 }
is_buildable = no
jungle = { defence = 0.20 }
max_strength = 70
maximum_speed = 3.00
officers = 20
on_completion = militia_practical
priority = 6
radio_strength = 1
repair_cost_multiplier = 0.05
river = { attack = -0.15 }
soft_attack = 0.67
softness = 1.00
sprite = Infantry
supply_consumption = 0
suppression = 0.33
toughness = 0.47
transport_weight = 5.00
type = land
unit_group = infantry_unit_type
}
</v>
      </c>
    </row>
    <row r="24" spans="1:130" x14ac:dyDescent="0.25">
      <c r="A24" s="2" t="str">
        <f t="shared" ca="1" si="64"/>
        <v>C:\Program Files (x86)\Paradox Interactive\Hearts of Iron III\tfh\mod\ww1tfh\units\police_brigade.txt</v>
      </c>
      <c r="B24" s="2" t="s">
        <v>23</v>
      </c>
      <c r="C24" s="5" t="s">
        <v>62</v>
      </c>
      <c r="D24" s="5" t="s">
        <v>62</v>
      </c>
      <c r="E24" s="5" t="s">
        <v>62</v>
      </c>
      <c r="F24" s="5" t="s">
        <v>62</v>
      </c>
      <c r="G24" s="5" t="s">
        <v>62</v>
      </c>
      <c r="H24" s="5" t="s">
        <v>62</v>
      </c>
      <c r="I24" s="5" t="s">
        <v>62</v>
      </c>
      <c r="J24" s="5" t="s">
        <v>62</v>
      </c>
      <c r="K24" s="5" t="s">
        <v>62</v>
      </c>
      <c r="L24" s="5" t="s">
        <v>62</v>
      </c>
      <c r="M24" s="5" t="s">
        <v>62</v>
      </c>
      <c r="N24" s="5" t="s">
        <v>62</v>
      </c>
      <c r="O24" s="5" t="s">
        <v>62</v>
      </c>
      <c r="P24" s="5" t="s">
        <v>62</v>
      </c>
      <c r="Q24" s="5" t="s">
        <v>62</v>
      </c>
      <c r="R24" s="5" t="s">
        <v>62</v>
      </c>
      <c r="S24" s="5" t="s">
        <v>106</v>
      </c>
      <c r="T24" s="5" t="s">
        <v>135</v>
      </c>
      <c r="U24" s="5" t="s">
        <v>200</v>
      </c>
      <c r="V24" s="5" t="s">
        <v>62</v>
      </c>
      <c r="W24" s="5" t="s">
        <v>62</v>
      </c>
      <c r="X24" s="5" t="s">
        <v>62</v>
      </c>
      <c r="Y24" s="5" t="s">
        <v>147</v>
      </c>
      <c r="Z24" s="5" t="s">
        <v>255</v>
      </c>
      <c r="AA24" s="5" t="s">
        <v>214</v>
      </c>
      <c r="AB24" s="5"/>
      <c r="AC24" s="5" t="s">
        <v>133</v>
      </c>
      <c r="AD24" s="5" t="s">
        <v>134</v>
      </c>
      <c r="AE24" s="5">
        <v>0.25</v>
      </c>
      <c r="AF24" s="5">
        <v>20</v>
      </c>
      <c r="AG24" s="5" t="s">
        <v>147</v>
      </c>
      <c r="AH24" s="5" t="s">
        <v>62</v>
      </c>
      <c r="AI24" s="5" t="s">
        <v>62</v>
      </c>
      <c r="AJ24" s="5" t="s">
        <v>106</v>
      </c>
      <c r="AK24" s="5" t="s">
        <v>106</v>
      </c>
      <c r="AL24" s="5" t="s">
        <v>62</v>
      </c>
      <c r="AM24" s="5" t="s">
        <v>62</v>
      </c>
      <c r="AN24" s="5" t="s">
        <v>62</v>
      </c>
      <c r="AO24" s="5" t="s">
        <v>62</v>
      </c>
      <c r="AP24" s="5" t="s">
        <v>62</v>
      </c>
      <c r="AQ24" s="5" t="s">
        <v>62</v>
      </c>
      <c r="AR24" s="5" t="s">
        <v>136</v>
      </c>
      <c r="AS24" s="5" t="s">
        <v>105</v>
      </c>
      <c r="AT24" s="5" t="s">
        <v>62</v>
      </c>
      <c r="AU24" s="5" t="s">
        <v>247</v>
      </c>
      <c r="AV24" s="5" t="s">
        <v>215</v>
      </c>
      <c r="AW24" s="5" t="s">
        <v>62</v>
      </c>
      <c r="AX24" s="5" t="s">
        <v>211</v>
      </c>
      <c r="AY24" s="5" t="s">
        <v>102</v>
      </c>
      <c r="AZ24" s="5" t="s">
        <v>113</v>
      </c>
      <c r="BA24" s="5" t="s">
        <v>62</v>
      </c>
      <c r="BB24" s="5" t="s">
        <v>191</v>
      </c>
      <c r="BC24" s="5" t="s">
        <v>115</v>
      </c>
      <c r="BD24" s="5" t="s">
        <v>143</v>
      </c>
      <c r="BE24" s="5">
        <v>0.7</v>
      </c>
      <c r="BF24" s="5" t="s">
        <v>147</v>
      </c>
      <c r="BG24" s="6">
        <v>0.7</v>
      </c>
      <c r="BH24" s="5" t="s">
        <v>129</v>
      </c>
      <c r="BI24" s="5" t="s">
        <v>117</v>
      </c>
      <c r="BJ24" s="5" t="s">
        <v>62</v>
      </c>
      <c r="BK24" s="5"/>
      <c r="BL24" s="5" t="s">
        <v>62</v>
      </c>
      <c r="BN24" s="2" t="str">
        <f t="shared" si="0"/>
        <v>police_brigade = {</v>
      </c>
      <c r="BO24" s="2" t="str">
        <f t="shared" si="62"/>
        <v/>
      </c>
      <c r="BP24" s="2" t="str">
        <f t="shared" si="1"/>
        <v/>
      </c>
      <c r="BQ24" s="2" t="str">
        <f t="shared" si="2"/>
        <v/>
      </c>
      <c r="BR24" s="2" t="str">
        <f t="shared" si="3"/>
        <v/>
      </c>
      <c r="BS24" s="2" t="str">
        <f t="shared" si="4"/>
        <v/>
      </c>
      <c r="BT24" s="2" t="str">
        <f t="shared" si="5"/>
        <v/>
      </c>
      <c r="BU24" s="2" t="str">
        <f t="shared" si="6"/>
        <v/>
      </c>
      <c r="BV24" s="2" t="str">
        <f t="shared" si="7"/>
        <v/>
      </c>
      <c r="BW24" s="2" t="str">
        <f t="shared" si="8"/>
        <v/>
      </c>
      <c r="BX24" s="2" t="str">
        <f t="shared" si="9"/>
        <v/>
      </c>
      <c r="BY24" s="2" t="str">
        <f t="shared" si="10"/>
        <v/>
      </c>
      <c r="BZ24" s="2" t="str">
        <f t="shared" si="11"/>
        <v/>
      </c>
      <c r="CA24" s="2" t="str">
        <f t="shared" si="12"/>
        <v/>
      </c>
      <c r="CB24" s="2" t="str">
        <f t="shared" si="13"/>
        <v/>
      </c>
      <c r="CC24" s="2" t="str">
        <f t="shared" si="14"/>
        <v/>
      </c>
      <c r="CD24" s="2" t="str">
        <f t="shared" si="15"/>
        <v/>
      </c>
      <c r="CE24" s="2" t="str">
        <f t="shared" si="16"/>
        <v>air_attack = 0.00</v>
      </c>
      <c r="CF24" s="2" t="str">
        <f t="shared" si="17"/>
        <v>air_defence = 2.00</v>
      </c>
      <c r="CG24" s="2" t="str">
        <f t="shared" si="18"/>
        <v>amphibious = { attack = -0.10 }</v>
      </c>
      <c r="CH24" s="2" t="str">
        <f t="shared" si="19"/>
        <v/>
      </c>
      <c r="CI24" s="2" t="str">
        <f t="shared" si="20"/>
        <v/>
      </c>
      <c r="CJ24" s="2" t="str">
        <f t="shared" si="21"/>
        <v/>
      </c>
      <c r="CK24" s="2" t="str">
        <f t="shared" si="22"/>
        <v>build_cost_ic = 3.00</v>
      </c>
      <c r="CL24" s="2" t="str">
        <f t="shared" si="23"/>
        <v>build_cost_manpower = 0.75</v>
      </c>
      <c r="CM24" s="2" t="str">
        <f t="shared" si="24"/>
        <v>build_time = 60</v>
      </c>
      <c r="CN24" s="2" t="str">
        <f t="shared" si="25"/>
        <v/>
      </c>
      <c r="CO24" s="2" t="str">
        <f t="shared" si="26"/>
        <v>combat_width = 0</v>
      </c>
      <c r="CP24" s="2" t="str">
        <f t="shared" si="27"/>
        <v>completion_size = 0.2</v>
      </c>
      <c r="CQ24" s="2" t="str">
        <f t="shared" si="28"/>
        <v>default_morale = 0.25</v>
      </c>
      <c r="CR24" s="2" t="str">
        <f t="shared" si="29"/>
        <v>default_organisation = 20</v>
      </c>
      <c r="CS24" s="2" t="str">
        <f t="shared" si="30"/>
        <v>defensiveness = 3.00</v>
      </c>
      <c r="CT24" s="2" t="str">
        <f t="shared" si="31"/>
        <v/>
      </c>
      <c r="CU24" s="2" t="str">
        <f t="shared" si="32"/>
        <v/>
      </c>
      <c r="CV24" s="2" t="str">
        <f t="shared" si="33"/>
        <v>fuel_consumption = 0.00</v>
      </c>
      <c r="CW24" s="2" t="str">
        <f t="shared" si="34"/>
        <v>hard_attack = 0.00</v>
      </c>
      <c r="CX24" s="2" t="str">
        <f t="shared" si="35"/>
        <v/>
      </c>
      <c r="CY24" s="2" t="str">
        <f t="shared" si="36"/>
        <v/>
      </c>
      <c r="CZ24" s="2" t="str">
        <f t="shared" si="37"/>
        <v/>
      </c>
      <c r="DA24" s="2" t="str">
        <f t="shared" si="38"/>
        <v/>
      </c>
      <c r="DB24" s="2" t="str">
        <f t="shared" si="39"/>
        <v/>
      </c>
      <c r="DC24" s="2" t="str">
        <f t="shared" si="40"/>
        <v/>
      </c>
      <c r="DD24" s="2" t="str">
        <f t="shared" si="41"/>
        <v>max_strength = 10</v>
      </c>
      <c r="DE24" s="2" t="str">
        <f t="shared" si="42"/>
        <v>maximum_speed = 4.00</v>
      </c>
      <c r="DF24" s="2" t="str">
        <f t="shared" si="43"/>
        <v/>
      </c>
      <c r="DG24" s="2" t="str">
        <f t="shared" si="44"/>
        <v>officers = 50</v>
      </c>
      <c r="DH24" s="2" t="str">
        <f t="shared" si="45"/>
        <v>on_completion = militia_practical</v>
      </c>
      <c r="DI24" s="2" t="str">
        <f t="shared" si="46"/>
        <v/>
      </c>
      <c r="DJ24" s="2" t="str">
        <f t="shared" si="47"/>
        <v>priority = 2</v>
      </c>
      <c r="DK24" s="2" t="str">
        <f t="shared" si="48"/>
        <v>radio_strength = 1</v>
      </c>
      <c r="DL24" s="2" t="str">
        <f t="shared" si="49"/>
        <v>repair_cost_multiplier = 0.05</v>
      </c>
      <c r="DM24" s="2" t="str">
        <f t="shared" si="50"/>
        <v/>
      </c>
      <c r="DN24" s="2" t="str">
        <f t="shared" si="51"/>
        <v>soft_attack = 0.67</v>
      </c>
      <c r="DO24" s="2" t="str">
        <f t="shared" si="52"/>
        <v>softness = 1.00</v>
      </c>
      <c r="DP24" s="2" t="str">
        <f t="shared" si="53"/>
        <v>sprite = Infantry</v>
      </c>
      <c r="DQ24" s="2" t="str">
        <f t="shared" si="54"/>
        <v>supply_consumption = 0.7</v>
      </c>
      <c r="DR24" s="2" t="str">
        <f t="shared" si="55"/>
        <v>suppression = 3.00</v>
      </c>
      <c r="DS24" s="2" t="str">
        <f t="shared" si="56"/>
        <v>toughness = 0.7</v>
      </c>
      <c r="DT24" s="2" t="str">
        <f t="shared" si="57"/>
        <v>transport_weight = 5.00</v>
      </c>
      <c r="DU24" s="2" t="str">
        <f t="shared" si="58"/>
        <v>type = land</v>
      </c>
      <c r="DV24" s="2" t="str">
        <f t="shared" si="59"/>
        <v/>
      </c>
      <c r="DW24" s="2" t="str">
        <f t="shared" si="60"/>
        <v/>
      </c>
      <c r="DX24" s="2" t="str">
        <f t="shared" si="61"/>
        <v/>
      </c>
      <c r="DY24" s="2" t="s">
        <v>0</v>
      </c>
      <c r="DZ24" s="2" t="str">
        <f t="shared" si="63"/>
        <v xml:space="preserve">police_brigade = {
air_attack = 0.00
air_defence = 2.00
amphibious = { attack = -0.10 }
build_cost_ic = 3.00
build_cost_manpower = 0.75
build_time = 60
combat_width = 0
completion_size = 0.2
default_morale = 0.25
default_organisation = 20
defensiveness = 3.00
fuel_consumption = 0.00
hard_attack = 0.00
max_strength = 10
maximum_speed = 4.00
officers = 50
on_completion = militia_practical
priority = 2
radio_strength = 1
repair_cost_multiplier = 0.05
soft_attack = 0.67
softness = 1.00
sprite = Infantry
supply_consumption = 0.7
suppression = 3.00
toughness = 0.7
transport_weight = 5.00
type = land
}
</v>
      </c>
    </row>
    <row r="25" spans="1:130" x14ac:dyDescent="0.25">
      <c r="A25" s="2" t="str">
        <f t="shared" ca="1" si="64"/>
        <v>C:\Program Files (x86)\Paradox Interactive\Hearts of Iron III\tfh\mod\ww1tfh\units\ranger_brigade.txt</v>
      </c>
      <c r="B25" s="2" t="s">
        <v>24</v>
      </c>
      <c r="C25" s="5" t="s">
        <v>62</v>
      </c>
      <c r="D25" s="5" t="s">
        <v>62</v>
      </c>
      <c r="E25" s="5" t="s">
        <v>62</v>
      </c>
      <c r="F25" s="5" t="s">
        <v>62</v>
      </c>
      <c r="G25" s="5" t="s">
        <v>187</v>
      </c>
      <c r="H25" s="5" t="s">
        <v>62</v>
      </c>
      <c r="I25" s="5" t="s">
        <v>99</v>
      </c>
      <c r="J25" s="5" t="s">
        <v>187</v>
      </c>
      <c r="K25" s="5" t="s">
        <v>62</v>
      </c>
      <c r="L25" s="5" t="s">
        <v>62</v>
      </c>
      <c r="M25" s="5" t="s">
        <v>188</v>
      </c>
      <c r="N25" s="5" t="s">
        <v>62</v>
      </c>
      <c r="O25" s="5" t="s">
        <v>62</v>
      </c>
      <c r="P25" s="5" t="s">
        <v>189</v>
      </c>
      <c r="Q25" s="5" t="s">
        <v>187</v>
      </c>
      <c r="R25" s="5" t="s">
        <v>62</v>
      </c>
      <c r="S25" s="5" t="s">
        <v>107</v>
      </c>
      <c r="T25" s="5" t="s">
        <v>135</v>
      </c>
      <c r="U25" s="5" t="s">
        <v>62</v>
      </c>
      <c r="V25" s="5" t="s">
        <v>102</v>
      </c>
      <c r="W25" s="5" t="s">
        <v>62</v>
      </c>
      <c r="X25" s="5" t="s">
        <v>62</v>
      </c>
      <c r="Y25" s="5">
        <v>6.23</v>
      </c>
      <c r="Z25" s="5">
        <v>9.33</v>
      </c>
      <c r="AA25" s="5" t="s">
        <v>190</v>
      </c>
      <c r="AB25" s="5"/>
      <c r="AC25" s="5">
        <v>2</v>
      </c>
      <c r="AD25" s="5" t="s">
        <v>134</v>
      </c>
      <c r="AE25" s="5">
        <v>0.35000000000000003</v>
      </c>
      <c r="AF25" s="5">
        <v>30</v>
      </c>
      <c r="AG25" s="5" t="s">
        <v>105</v>
      </c>
      <c r="AH25" s="5" t="s">
        <v>62</v>
      </c>
      <c r="AI25" s="5" t="s">
        <v>62</v>
      </c>
      <c r="AJ25" s="5" t="s">
        <v>106</v>
      </c>
      <c r="AK25" s="5" t="s">
        <v>191</v>
      </c>
      <c r="AL25" s="5" t="s">
        <v>62</v>
      </c>
      <c r="AM25" s="5" t="s">
        <v>62</v>
      </c>
      <c r="AN25" s="5" t="s">
        <v>62</v>
      </c>
      <c r="AO25" s="5" t="s">
        <v>62</v>
      </c>
      <c r="AP25" s="5" t="s">
        <v>62</v>
      </c>
      <c r="AQ25" s="5" t="s">
        <v>108</v>
      </c>
      <c r="AR25" s="5">
        <v>70</v>
      </c>
      <c r="AS25" s="5" t="s">
        <v>105</v>
      </c>
      <c r="AT25" s="5" t="s">
        <v>110</v>
      </c>
      <c r="AU25" s="5">
        <v>250</v>
      </c>
      <c r="AV25" s="5" t="s">
        <v>111</v>
      </c>
      <c r="AW25" s="5" t="s">
        <v>62</v>
      </c>
      <c r="AX25" s="5" t="s">
        <v>112</v>
      </c>
      <c r="AY25" s="5" t="s">
        <v>102</v>
      </c>
      <c r="AZ25" s="5" t="s">
        <v>113</v>
      </c>
      <c r="BA25" s="5" t="s">
        <v>62</v>
      </c>
      <c r="BB25" s="5" t="s">
        <v>135</v>
      </c>
      <c r="BC25" s="5" t="s">
        <v>115</v>
      </c>
      <c r="BD25" s="5" t="s">
        <v>116</v>
      </c>
      <c r="BE25" s="5">
        <v>1.56</v>
      </c>
      <c r="BF25" s="5">
        <v>2</v>
      </c>
      <c r="BG25" s="6">
        <v>2.1</v>
      </c>
      <c r="BH25" s="5">
        <v>10</v>
      </c>
      <c r="BI25" s="5" t="s">
        <v>117</v>
      </c>
      <c r="BJ25" s="5" t="s">
        <v>118</v>
      </c>
      <c r="BK25" s="5"/>
      <c r="BL25" s="5" t="s">
        <v>256</v>
      </c>
      <c r="BN25" s="2" t="str">
        <f t="shared" si="0"/>
        <v>ranger_brigade = {</v>
      </c>
      <c r="BO25" s="2" t="str">
        <f t="shared" si="62"/>
        <v/>
      </c>
      <c r="BP25" s="2" t="str">
        <f t="shared" si="1"/>
        <v/>
      </c>
      <c r="BQ25" s="2" t="str">
        <f t="shared" si="2"/>
        <v/>
      </c>
      <c r="BR25" s="2" t="str">
        <f t="shared" si="3"/>
        <v/>
      </c>
      <c r="BS25" s="2" t="str">
        <f t="shared" si="4"/>
        <v xml:space="preserve">
forest = {
attack = 0.10
movement = 0.15
}</v>
      </c>
      <c r="BT25" s="2" t="str">
        <f t="shared" si="5"/>
        <v/>
      </c>
      <c r="BU25" s="2" t="str">
        <f t="shared" si="6"/>
        <v xml:space="preserve">
hills = {
attack = 0.05
movement = 0.05
}</v>
      </c>
      <c r="BV25" s="2" t="str">
        <f t="shared" si="7"/>
        <v xml:space="preserve">
jungle = {
attack = 0.10
movement = 0.15
}</v>
      </c>
      <c r="BW25" s="2" t="str">
        <f t="shared" si="8"/>
        <v/>
      </c>
      <c r="BX25" s="2" t="str">
        <f t="shared" si="9"/>
        <v/>
      </c>
      <c r="BY25" s="2" t="str">
        <f t="shared" si="10"/>
        <v xml:space="preserve">
night = {
attack = 0.10
defence = 0.10
movement = 0.10
}</v>
      </c>
      <c r="BZ25" s="2" t="str">
        <f t="shared" si="11"/>
        <v/>
      </c>
      <c r="CA25" s="2" t="str">
        <f t="shared" si="12"/>
        <v/>
      </c>
      <c r="CB25" s="2" t="str">
        <f t="shared" si="13"/>
        <v xml:space="preserve">
urban = {
attack = 0.20
defence = 0.15
}</v>
      </c>
      <c r="CC25" s="2" t="str">
        <f t="shared" si="14"/>
        <v xml:space="preserve">
woods = {
attack = 0.10
movement = 0.15
}</v>
      </c>
      <c r="CD25" s="2" t="str">
        <f t="shared" si="15"/>
        <v/>
      </c>
      <c r="CE25" s="2" t="str">
        <f t="shared" si="16"/>
        <v>air_attack = 0.33</v>
      </c>
      <c r="CF25" s="2" t="str">
        <f t="shared" si="17"/>
        <v>air_defence = 2.00</v>
      </c>
      <c r="CG25" s="2" t="str">
        <f t="shared" si="18"/>
        <v/>
      </c>
      <c r="CH25" s="2" t="str">
        <f t="shared" si="19"/>
        <v>ap_attack = 1</v>
      </c>
      <c r="CI25" s="2" t="str">
        <f t="shared" si="20"/>
        <v/>
      </c>
      <c r="CJ25" s="2" t="str">
        <f t="shared" si="21"/>
        <v/>
      </c>
      <c r="CK25" s="2" t="str">
        <f t="shared" si="22"/>
        <v>build_cost_ic = 6.23</v>
      </c>
      <c r="CL25" s="2" t="str">
        <f t="shared" si="23"/>
        <v>build_cost_manpower = 9.33</v>
      </c>
      <c r="CM25" s="2" t="str">
        <f t="shared" si="24"/>
        <v>build_time = 150</v>
      </c>
      <c r="CN25" s="2" t="str">
        <f t="shared" si="25"/>
        <v/>
      </c>
      <c r="CO25" s="2" t="str">
        <f t="shared" si="26"/>
        <v>combat_width = 2</v>
      </c>
      <c r="CP25" s="2" t="str">
        <f t="shared" si="27"/>
        <v>completion_size = 0.2</v>
      </c>
      <c r="CQ25" s="2" t="str">
        <f t="shared" si="28"/>
        <v>default_morale = 0.35</v>
      </c>
      <c r="CR25" s="2" t="str">
        <f t="shared" si="29"/>
        <v>default_organisation = 30</v>
      </c>
      <c r="CS25" s="2" t="str">
        <f t="shared" si="30"/>
        <v>defensiveness = 4.00</v>
      </c>
      <c r="CT25" s="2" t="str">
        <f t="shared" si="31"/>
        <v/>
      </c>
      <c r="CU25" s="2" t="str">
        <f t="shared" si="32"/>
        <v/>
      </c>
      <c r="CV25" s="2" t="str">
        <f t="shared" si="33"/>
        <v>fuel_consumption = 0.00</v>
      </c>
      <c r="CW25" s="2" t="str">
        <f t="shared" si="34"/>
        <v>hard_attack = 0.67</v>
      </c>
      <c r="CX25" s="2" t="str">
        <f t="shared" si="35"/>
        <v/>
      </c>
      <c r="CY25" s="2" t="str">
        <f t="shared" si="36"/>
        <v/>
      </c>
      <c r="CZ25" s="2" t="str">
        <f t="shared" si="37"/>
        <v/>
      </c>
      <c r="DA25" s="2" t="str">
        <f t="shared" si="38"/>
        <v/>
      </c>
      <c r="DB25" s="2" t="str">
        <f t="shared" si="39"/>
        <v/>
      </c>
      <c r="DC25" s="2" t="str">
        <f t="shared" si="40"/>
        <v>max_percentage_of_type = 0.04</v>
      </c>
      <c r="DD25" s="2" t="str">
        <f t="shared" si="41"/>
        <v>max_strength = 70</v>
      </c>
      <c r="DE25" s="2" t="str">
        <f t="shared" si="42"/>
        <v>maximum_speed = 4.00</v>
      </c>
      <c r="DF25" s="2" t="str">
        <f t="shared" si="43"/>
        <v>minimum_of_type = 6</v>
      </c>
      <c r="DG25" s="2" t="str">
        <f t="shared" si="44"/>
        <v>officers = 250</v>
      </c>
      <c r="DH25" s="2" t="str">
        <f t="shared" si="45"/>
        <v>on_completion = infantry_practical</v>
      </c>
      <c r="DI25" s="2" t="str">
        <f t="shared" si="46"/>
        <v/>
      </c>
      <c r="DJ25" s="2" t="str">
        <f t="shared" si="47"/>
        <v>priority = 9</v>
      </c>
      <c r="DK25" s="2" t="str">
        <f t="shared" si="48"/>
        <v>radio_strength = 1</v>
      </c>
      <c r="DL25" s="2" t="str">
        <f t="shared" si="49"/>
        <v>repair_cost_multiplier = 0.05</v>
      </c>
      <c r="DM25" s="2" t="str">
        <f t="shared" si="50"/>
        <v/>
      </c>
      <c r="DN25" s="2" t="str">
        <f t="shared" si="51"/>
        <v>soft_attack = 2.00</v>
      </c>
      <c r="DO25" s="2" t="str">
        <f t="shared" si="52"/>
        <v>softness = 1.00</v>
      </c>
      <c r="DP25" s="2" t="str">
        <f t="shared" si="53"/>
        <v>sprite = Elite</v>
      </c>
      <c r="DQ25" s="2" t="str">
        <f t="shared" si="54"/>
        <v>supply_consumption = 1.56</v>
      </c>
      <c r="DR25" s="2" t="str">
        <f t="shared" si="55"/>
        <v>suppression = 2</v>
      </c>
      <c r="DS25" s="2" t="str">
        <f t="shared" si="56"/>
        <v>toughness = 2.1</v>
      </c>
      <c r="DT25" s="2" t="str">
        <f t="shared" si="57"/>
        <v>transport_weight = 10</v>
      </c>
      <c r="DU25" s="2" t="str">
        <f t="shared" si="58"/>
        <v>type = land</v>
      </c>
      <c r="DV25" s="2" t="str">
        <f t="shared" si="59"/>
        <v>unit_group = infantry_unit_type</v>
      </c>
      <c r="DW25" s="2" t="str">
        <f t="shared" si="60"/>
        <v/>
      </c>
      <c r="DX25" s="2" t="str">
        <f t="shared" si="61"/>
        <v>usable_by = { USA }</v>
      </c>
      <c r="DY25" s="2" t="s">
        <v>0</v>
      </c>
      <c r="DZ25" s="2" t="str">
        <f t="shared" si="63"/>
        <v xml:space="preserve">ranger_brigade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0.2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2
toughness = 2.1
transport_weight = 10
type = land
unit_group = infantry_unit_type
usable_by = { USA }
}
</v>
      </c>
    </row>
    <row r="26" spans="1:130" x14ac:dyDescent="0.25">
      <c r="A26" s="2" t="str">
        <f t="shared" ca="1" si="64"/>
        <v>C:\Program Files (x86)\Paradox Interactive\Hearts of Iron III\tfh\mod\ww1tfh\units\waffenSS_brigade.txt</v>
      </c>
      <c r="B26" s="2" t="s">
        <v>25</v>
      </c>
      <c r="C26" s="5" t="s">
        <v>62</v>
      </c>
      <c r="D26" s="5" t="s">
        <v>62</v>
      </c>
      <c r="E26" s="5" t="s">
        <v>62</v>
      </c>
      <c r="F26" s="5" t="s">
        <v>62</v>
      </c>
      <c r="G26" s="5" t="s">
        <v>187</v>
      </c>
      <c r="H26" s="5" t="s">
        <v>62</v>
      </c>
      <c r="I26" s="5" t="s">
        <v>99</v>
      </c>
      <c r="J26" s="5" t="s">
        <v>187</v>
      </c>
      <c r="K26" s="5" t="s">
        <v>62</v>
      </c>
      <c r="L26" s="5" t="s">
        <v>62</v>
      </c>
      <c r="M26" s="5" t="s">
        <v>188</v>
      </c>
      <c r="N26" s="5" t="s">
        <v>62</v>
      </c>
      <c r="O26" s="5" t="s">
        <v>62</v>
      </c>
      <c r="P26" s="5" t="s">
        <v>189</v>
      </c>
      <c r="Q26" s="5" t="s">
        <v>187</v>
      </c>
      <c r="R26" s="5" t="s">
        <v>62</v>
      </c>
      <c r="S26" s="5" t="s">
        <v>107</v>
      </c>
      <c r="T26" s="5" t="s">
        <v>135</v>
      </c>
      <c r="U26" s="5" t="s">
        <v>62</v>
      </c>
      <c r="V26" s="5" t="s">
        <v>102</v>
      </c>
      <c r="W26" s="5" t="s">
        <v>62</v>
      </c>
      <c r="X26" s="5" t="s">
        <v>62</v>
      </c>
      <c r="Y26" s="5">
        <v>6.23</v>
      </c>
      <c r="Z26" s="5">
        <v>9.33</v>
      </c>
      <c r="AA26" s="5" t="s">
        <v>190</v>
      </c>
      <c r="AB26" s="5"/>
      <c r="AC26" s="5">
        <v>2</v>
      </c>
      <c r="AD26" s="5">
        <v>0.3</v>
      </c>
      <c r="AE26" s="5">
        <v>0.35000000000000003</v>
      </c>
      <c r="AF26" s="5">
        <v>30</v>
      </c>
      <c r="AG26" s="5" t="s">
        <v>105</v>
      </c>
      <c r="AH26" s="5" t="s">
        <v>62</v>
      </c>
      <c r="AI26" s="5" t="s">
        <v>62</v>
      </c>
      <c r="AJ26" s="5" t="s">
        <v>106</v>
      </c>
      <c r="AK26" s="5" t="s">
        <v>191</v>
      </c>
      <c r="AL26" s="5" t="s">
        <v>62</v>
      </c>
      <c r="AM26" s="5" t="s">
        <v>62</v>
      </c>
      <c r="AN26" s="5" t="s">
        <v>62</v>
      </c>
      <c r="AO26" s="5" t="s">
        <v>62</v>
      </c>
      <c r="AP26" s="5" t="s">
        <v>62</v>
      </c>
      <c r="AQ26" s="5" t="s">
        <v>108</v>
      </c>
      <c r="AR26" s="5">
        <v>70</v>
      </c>
      <c r="AS26" s="5" t="s">
        <v>105</v>
      </c>
      <c r="AT26" s="5" t="s">
        <v>110</v>
      </c>
      <c r="AU26" s="5">
        <v>250</v>
      </c>
      <c r="AV26" s="5" t="s">
        <v>111</v>
      </c>
      <c r="AW26" s="5" t="s">
        <v>62</v>
      </c>
      <c r="AX26" s="5" t="s">
        <v>112</v>
      </c>
      <c r="AY26" s="5" t="s">
        <v>102</v>
      </c>
      <c r="AZ26" s="5" t="s">
        <v>113</v>
      </c>
      <c r="BA26" s="5" t="s">
        <v>62</v>
      </c>
      <c r="BB26" s="5" t="s">
        <v>135</v>
      </c>
      <c r="BC26" s="5" t="s">
        <v>115</v>
      </c>
      <c r="BD26" s="5" t="s">
        <v>116</v>
      </c>
      <c r="BE26" s="5">
        <v>1.56</v>
      </c>
      <c r="BF26" s="5">
        <v>6</v>
      </c>
      <c r="BG26" s="6">
        <v>2.1</v>
      </c>
      <c r="BH26" s="5">
        <v>10</v>
      </c>
      <c r="BI26" s="5" t="s">
        <v>117</v>
      </c>
      <c r="BJ26" s="5" t="s">
        <v>118</v>
      </c>
      <c r="BK26" s="5"/>
      <c r="BL26" s="5" t="s">
        <v>257</v>
      </c>
      <c r="BN26" s="2" t="s">
        <v>89</v>
      </c>
      <c r="BO26" s="2" t="str">
        <f t="shared" si="62"/>
        <v/>
      </c>
      <c r="BP26" s="2" t="str">
        <f t="shared" si="1"/>
        <v/>
      </c>
      <c r="BQ26" s="2" t="str">
        <f t="shared" si="2"/>
        <v/>
      </c>
      <c r="BR26" s="2" t="str">
        <f t="shared" si="3"/>
        <v/>
      </c>
      <c r="BS26" s="2" t="str">
        <f t="shared" si="4"/>
        <v xml:space="preserve">
forest = {
attack = 0.10
movement = 0.15
}</v>
      </c>
      <c r="BT26" s="2" t="str">
        <f t="shared" si="5"/>
        <v/>
      </c>
      <c r="BU26" s="2" t="str">
        <f t="shared" si="6"/>
        <v xml:space="preserve">
hills = {
attack = 0.05
movement = 0.05
}</v>
      </c>
      <c r="BV26" s="2" t="str">
        <f t="shared" si="7"/>
        <v xml:space="preserve">
jungle = {
attack = 0.10
movement = 0.15
}</v>
      </c>
      <c r="BW26" s="2" t="str">
        <f t="shared" si="8"/>
        <v/>
      </c>
      <c r="BX26" s="2" t="str">
        <f t="shared" si="9"/>
        <v/>
      </c>
      <c r="BY26" s="2" t="str">
        <f t="shared" si="10"/>
        <v xml:space="preserve">
night = {
attack = 0.10
defence = 0.10
movement = 0.10
}</v>
      </c>
      <c r="BZ26" s="2" t="str">
        <f t="shared" si="11"/>
        <v/>
      </c>
      <c r="CA26" s="2" t="str">
        <f t="shared" si="12"/>
        <v/>
      </c>
      <c r="CB26" s="2" t="str">
        <f t="shared" si="13"/>
        <v xml:space="preserve">
urban = {
attack = 0.20
defence = 0.15
}</v>
      </c>
      <c r="CC26" s="2" t="str">
        <f t="shared" si="14"/>
        <v xml:space="preserve">
woods = {
attack = 0.10
movement = 0.15
}</v>
      </c>
      <c r="CD26" s="2" t="str">
        <f t="shared" si="15"/>
        <v/>
      </c>
      <c r="CE26" s="2" t="str">
        <f t="shared" si="16"/>
        <v>air_attack = 0.33</v>
      </c>
      <c r="CF26" s="2" t="str">
        <f t="shared" si="17"/>
        <v>air_defence = 2.00</v>
      </c>
      <c r="CG26" s="2" t="str">
        <f t="shared" si="18"/>
        <v/>
      </c>
      <c r="CH26" s="2" t="str">
        <f t="shared" si="19"/>
        <v>ap_attack = 1</v>
      </c>
      <c r="CI26" s="2" t="str">
        <f t="shared" si="20"/>
        <v/>
      </c>
      <c r="CJ26" s="2" t="str">
        <f t="shared" si="21"/>
        <v/>
      </c>
      <c r="CK26" s="2" t="str">
        <f t="shared" si="22"/>
        <v>build_cost_ic = 6.23</v>
      </c>
      <c r="CL26" s="2" t="str">
        <f t="shared" si="23"/>
        <v>build_cost_manpower = 9.33</v>
      </c>
      <c r="CM26" s="2" t="str">
        <f t="shared" si="24"/>
        <v>build_time = 150</v>
      </c>
      <c r="CN26" s="2" t="str">
        <f t="shared" si="25"/>
        <v/>
      </c>
      <c r="CO26" s="2" t="str">
        <f t="shared" si="26"/>
        <v>combat_width = 2</v>
      </c>
      <c r="CP26" s="2" t="str">
        <f t="shared" si="27"/>
        <v>completion_size = 0.3</v>
      </c>
      <c r="CQ26" s="2" t="str">
        <f t="shared" si="28"/>
        <v>default_morale = 0.35</v>
      </c>
      <c r="CR26" s="2" t="str">
        <f t="shared" si="29"/>
        <v>default_organisation = 30</v>
      </c>
      <c r="CS26" s="2" t="str">
        <f t="shared" si="30"/>
        <v>defensiveness = 4.00</v>
      </c>
      <c r="CT26" s="2" t="str">
        <f t="shared" si="31"/>
        <v/>
      </c>
      <c r="CU26" s="2" t="str">
        <f t="shared" si="32"/>
        <v/>
      </c>
      <c r="CV26" s="2" t="str">
        <f t="shared" si="33"/>
        <v>fuel_consumption = 0.00</v>
      </c>
      <c r="CW26" s="2" t="str">
        <f t="shared" si="34"/>
        <v>hard_attack = 0.67</v>
      </c>
      <c r="CX26" s="2" t="str">
        <f t="shared" si="35"/>
        <v/>
      </c>
      <c r="CY26" s="2" t="str">
        <f t="shared" si="36"/>
        <v/>
      </c>
      <c r="CZ26" s="2" t="str">
        <f t="shared" si="37"/>
        <v/>
      </c>
      <c r="DA26" s="2" t="str">
        <f t="shared" si="38"/>
        <v/>
      </c>
      <c r="DB26" s="2" t="str">
        <f t="shared" si="39"/>
        <v/>
      </c>
      <c r="DC26" s="2" t="str">
        <f t="shared" si="40"/>
        <v>max_percentage_of_type = 0.04</v>
      </c>
      <c r="DD26" s="2" t="str">
        <f t="shared" si="41"/>
        <v>max_strength = 70</v>
      </c>
      <c r="DE26" s="2" t="str">
        <f t="shared" si="42"/>
        <v>maximum_speed = 4.00</v>
      </c>
      <c r="DF26" s="2" t="str">
        <f t="shared" si="43"/>
        <v>minimum_of_type = 6</v>
      </c>
      <c r="DG26" s="2" t="str">
        <f t="shared" si="44"/>
        <v>officers = 250</v>
      </c>
      <c r="DH26" s="2" t="str">
        <f t="shared" si="45"/>
        <v>on_completion = infantry_practical</v>
      </c>
      <c r="DI26" s="2" t="str">
        <f t="shared" si="46"/>
        <v/>
      </c>
      <c r="DJ26" s="2" t="str">
        <f t="shared" si="47"/>
        <v>priority = 9</v>
      </c>
      <c r="DK26" s="2" t="str">
        <f t="shared" si="48"/>
        <v>radio_strength = 1</v>
      </c>
      <c r="DL26" s="2" t="str">
        <f t="shared" si="49"/>
        <v>repair_cost_multiplier = 0.05</v>
      </c>
      <c r="DM26" s="2" t="str">
        <f t="shared" si="50"/>
        <v/>
      </c>
      <c r="DN26" s="2" t="str">
        <f t="shared" si="51"/>
        <v>soft_attack = 2.00</v>
      </c>
      <c r="DO26" s="2" t="str">
        <f t="shared" si="52"/>
        <v>softness = 1.00</v>
      </c>
      <c r="DP26" s="2" t="str">
        <f t="shared" si="53"/>
        <v>sprite = Elite</v>
      </c>
      <c r="DQ26" s="2" t="str">
        <f t="shared" si="54"/>
        <v>supply_consumption = 1.56</v>
      </c>
      <c r="DR26" s="2" t="str">
        <f t="shared" si="55"/>
        <v>suppression = 6</v>
      </c>
      <c r="DS26" s="2" t="str">
        <f t="shared" si="56"/>
        <v>toughness = 2.1</v>
      </c>
      <c r="DT26" s="2" t="str">
        <f t="shared" si="57"/>
        <v>transport_weight = 10</v>
      </c>
      <c r="DU26" s="2" t="str">
        <f t="shared" si="58"/>
        <v>type = land</v>
      </c>
      <c r="DV26" s="2" t="str">
        <f t="shared" si="59"/>
        <v>unit_group = infantry_unit_type</v>
      </c>
      <c r="DW26" s="2" t="str">
        <f t="shared" si="60"/>
        <v/>
      </c>
      <c r="DX26" s="2" t="str">
        <f t="shared" si="61"/>
        <v>usable_by = { GER }</v>
      </c>
      <c r="DY26" s="2" t="s">
        <v>0</v>
      </c>
      <c r="DZ26" s="2" t="str">
        <f t="shared" si="63"/>
        <v xml:space="preserve">waffen_brigade = {
forest = {
attack = 0.10
movement = 0.15
}
hills = {
attack = 0.05
movement = 0.05
}
jungle = {
attack = 0.10
movement = 0.15
}
night = {
attack = 0.10
defence = 0.10
movement = 0.10
}
urban = {
attack = 0.20
defence = 0.15
}
woods = {
attack = 0.10
movement = 0.15
}
air_attack = 0.33
air_defence = 2.00
ap_attack = 1
build_cost_ic = 6.23
build_cost_manpower = 9.33
build_time = 150
combat_width = 2
completion_size = 0.3
default_morale = 0.35
default_organisation = 30
defensiveness = 4.00
fuel_consumption = 0.00
hard_attack = 0.67
max_percentage_of_type = 0.04
max_strength = 70
maximum_speed = 4.00
minimum_of_type = 6
officers = 250
on_completion = infantry_practical
priority = 9
radio_strength = 1
repair_cost_multiplier = 0.05
soft_attack = 2.00
softness = 1.00
sprite = Elite
supply_consumption = 1.56
suppression = 6
toughness = 2.1
transport_weight = 10
type = land
unit_group = infantry_unit_type
usable_by = { GER }
}
</v>
      </c>
    </row>
    <row r="27" spans="1:130" ht="17.25" customHeight="1" x14ac:dyDescent="0.25">
      <c r="A27" s="2" t="str">
        <f t="shared" ca="1" si="64"/>
        <v>C:\Program Files (x86)\Paradox Interactive\Hearts of Iron III\tfh\mod\ww1tfh\units\heavy_artillery_brigade.txt</v>
      </c>
      <c r="B27" s="2" t="s">
        <v>92</v>
      </c>
      <c r="C27" s="5" t="s">
        <v>62</v>
      </c>
      <c r="D27" s="5" t="s">
        <v>62</v>
      </c>
      <c r="E27" s="5" t="s">
        <v>62</v>
      </c>
      <c r="F27" s="5" t="s">
        <v>62</v>
      </c>
      <c r="G27" s="5" t="s">
        <v>124</v>
      </c>
      <c r="H27" s="7" t="s">
        <v>93</v>
      </c>
      <c r="I27" s="5" t="s">
        <v>125</v>
      </c>
      <c r="J27" s="5" t="s">
        <v>126</v>
      </c>
      <c r="K27" s="5" t="s">
        <v>127</v>
      </c>
      <c r="L27" s="5" t="s">
        <v>127</v>
      </c>
      <c r="M27" s="5" t="s">
        <v>62</v>
      </c>
      <c r="N27" s="5" t="s">
        <v>62</v>
      </c>
      <c r="O27" s="5" t="s">
        <v>62</v>
      </c>
      <c r="P27" s="7" t="s">
        <v>205</v>
      </c>
      <c r="Q27" s="5" t="s">
        <v>125</v>
      </c>
      <c r="R27" s="5" t="s">
        <v>90</v>
      </c>
      <c r="S27" s="5" t="s">
        <v>100</v>
      </c>
      <c r="T27" s="5" t="s">
        <v>145</v>
      </c>
      <c r="U27" s="5" t="s">
        <v>182</v>
      </c>
      <c r="V27" s="5" t="s">
        <v>62</v>
      </c>
      <c r="W27" s="5" t="s">
        <v>62</v>
      </c>
      <c r="X27" s="5" t="s">
        <v>62</v>
      </c>
      <c r="Y27" s="6">
        <v>10</v>
      </c>
      <c r="Z27" s="5">
        <v>2.66</v>
      </c>
      <c r="AA27" s="5">
        <v>150</v>
      </c>
      <c r="AB27" s="5"/>
      <c r="AC27" s="5" t="s">
        <v>133</v>
      </c>
      <c r="AD27" s="5">
        <v>0.5</v>
      </c>
      <c r="AE27" s="5">
        <v>0.25</v>
      </c>
      <c r="AF27" s="5">
        <v>20</v>
      </c>
      <c r="AG27" s="6">
        <v>1</v>
      </c>
      <c r="AH27" s="5" t="s">
        <v>62</v>
      </c>
      <c r="AI27" s="5" t="s">
        <v>93</v>
      </c>
      <c r="AJ27" s="5" t="s">
        <v>106</v>
      </c>
      <c r="AK27" s="5" t="s">
        <v>115</v>
      </c>
      <c r="AL27" s="5" t="s">
        <v>62</v>
      </c>
      <c r="AM27" s="5" t="s">
        <v>62</v>
      </c>
      <c r="AN27" s="5" t="s">
        <v>62</v>
      </c>
      <c r="AO27" s="5" t="s">
        <v>62</v>
      </c>
      <c r="AP27" s="5" t="s">
        <v>62</v>
      </c>
      <c r="AQ27" s="5" t="s">
        <v>62</v>
      </c>
      <c r="AR27" s="5">
        <v>20</v>
      </c>
      <c r="AS27" s="6">
        <v>2</v>
      </c>
      <c r="AT27" s="5" t="s">
        <v>62</v>
      </c>
      <c r="AU27" s="5">
        <v>200</v>
      </c>
      <c r="AV27" s="5" t="s">
        <v>138</v>
      </c>
      <c r="AW27" s="5" t="s">
        <v>62</v>
      </c>
      <c r="AX27" s="5" t="s">
        <v>139</v>
      </c>
      <c r="AY27" s="5" t="s">
        <v>102</v>
      </c>
      <c r="AZ27" s="5" t="s">
        <v>113</v>
      </c>
      <c r="BA27" s="5" t="s">
        <v>140</v>
      </c>
      <c r="BB27" s="6">
        <v>4.8</v>
      </c>
      <c r="BC27" s="6">
        <v>0.8</v>
      </c>
      <c r="BD27" s="5" t="s">
        <v>143</v>
      </c>
      <c r="BE27" s="6">
        <v>2</v>
      </c>
      <c r="BF27" s="5">
        <v>0</v>
      </c>
      <c r="BG27" s="5">
        <v>1</v>
      </c>
      <c r="BH27" s="6">
        <v>15</v>
      </c>
      <c r="BI27" s="5" t="s">
        <v>117</v>
      </c>
      <c r="BJ27" s="5" t="s">
        <v>186</v>
      </c>
      <c r="BK27" s="5"/>
      <c r="BL27" s="5" t="s">
        <v>62</v>
      </c>
      <c r="BN27" s="2" t="s">
        <v>94</v>
      </c>
      <c r="BO27" s="2" t="str">
        <f t="shared" si="62"/>
        <v/>
      </c>
      <c r="BP27" s="2" t="str">
        <f t="shared" si="1"/>
        <v/>
      </c>
      <c r="BQ27" s="2" t="str">
        <f t="shared" si="2"/>
        <v/>
      </c>
      <c r="BR27" s="2" t="str">
        <f t="shared" si="3"/>
        <v/>
      </c>
      <c r="BS27" s="2" t="str">
        <f t="shared" si="4"/>
        <v xml:space="preserve">
forest = {
attack = -0.20
movement = -0.20
}</v>
      </c>
      <c r="BT27" s="2" t="str">
        <f t="shared" si="5"/>
        <v xml:space="preserve">
fort = {
attack = 0.60
}</v>
      </c>
      <c r="BU27" s="2" t="str">
        <f t="shared" si="6"/>
        <v xml:space="preserve">
hills = {
attack = -0.10
movement = -0.10
}</v>
      </c>
      <c r="BV27" s="2" t="str">
        <f t="shared" si="7"/>
        <v xml:space="preserve">
jungle = {
attack = -0.30
movement = -0.30
}</v>
      </c>
      <c r="BW27" s="2" t="str">
        <f t="shared" si="8"/>
        <v xml:space="preserve">
marsh = {
attack = -0.20
movement = -0.70
}</v>
      </c>
      <c r="BX27" s="2" t="str">
        <f t="shared" si="9"/>
        <v xml:space="preserve">
mountain = {
attack = -0.20
movement = -0.70
}</v>
      </c>
      <c r="BY27" s="2" t="str">
        <f t="shared" si="10"/>
        <v/>
      </c>
      <c r="BZ27" s="2" t="str">
        <f t="shared" si="11"/>
        <v/>
      </c>
      <c r="CA27" s="2" t="str">
        <f t="shared" si="12"/>
        <v/>
      </c>
      <c r="CB27" s="2" t="str">
        <f t="shared" si="13"/>
        <v xml:space="preserve">
urban = {
attack = 0.40
}</v>
      </c>
      <c r="CC27" s="2" t="str">
        <f t="shared" si="14"/>
        <v xml:space="preserve">
woods = {
attack = -0.10
movement = -0.10
}</v>
      </c>
      <c r="CD27" s="2" t="str">
        <f t="shared" si="15"/>
        <v>active = no</v>
      </c>
      <c r="CE27" s="2" t="str">
        <f t="shared" si="16"/>
        <v>air_attack = 0.10</v>
      </c>
      <c r="CF27" s="2" t="str">
        <f t="shared" si="17"/>
        <v>air_defence = 1.50</v>
      </c>
      <c r="CG27" s="2" t="str">
        <f t="shared" si="18"/>
        <v>amphibious = { attack = -0.80 }</v>
      </c>
      <c r="CH27" s="2" t="str">
        <f t="shared" si="19"/>
        <v/>
      </c>
      <c r="CI27" s="2" t="str">
        <f t="shared" si="20"/>
        <v/>
      </c>
      <c r="CJ27" s="2" t="str">
        <f t="shared" si="21"/>
        <v/>
      </c>
      <c r="CK27" s="2" t="str">
        <f t="shared" si="22"/>
        <v>build_cost_ic = 10</v>
      </c>
      <c r="CL27" s="2" t="str">
        <f t="shared" si="23"/>
        <v>build_cost_manpower = 2.66</v>
      </c>
      <c r="CM27" s="2" t="str">
        <f t="shared" si="24"/>
        <v>build_time = 150</v>
      </c>
      <c r="CN27" s="2" t="str">
        <f t="shared" si="25"/>
        <v/>
      </c>
      <c r="CO27" s="2" t="str">
        <f t="shared" si="26"/>
        <v>combat_width = 0</v>
      </c>
      <c r="CP27" s="2" t="str">
        <f t="shared" si="27"/>
        <v>completion_size = 0.5</v>
      </c>
      <c r="CQ27" s="2" t="str">
        <f t="shared" si="28"/>
        <v>default_morale = 0.25</v>
      </c>
      <c r="CR27" s="2" t="str">
        <f t="shared" si="29"/>
        <v>default_organisation = 20</v>
      </c>
      <c r="CS27" s="2" t="str">
        <f t="shared" si="30"/>
        <v>defensiveness = 1</v>
      </c>
      <c r="CT27" s="2" t="str">
        <f t="shared" si="31"/>
        <v/>
      </c>
      <c r="CU27" s="2" t="str">
        <f t="shared" si="32"/>
        <v>fort = {
attack = 0.60
}</v>
      </c>
      <c r="CV27" s="2" t="str">
        <f t="shared" si="33"/>
        <v>fuel_consumption = 0.00</v>
      </c>
      <c r="CW27" s="2" t="str">
        <f t="shared" si="34"/>
        <v>hard_attack = 1.00</v>
      </c>
      <c r="CX27" s="2" t="str">
        <f t="shared" si="35"/>
        <v/>
      </c>
      <c r="CY27" s="2" t="str">
        <f t="shared" si="36"/>
        <v/>
      </c>
      <c r="CZ27" s="2" t="str">
        <f t="shared" si="37"/>
        <v/>
      </c>
      <c r="DA27" s="2" t="str">
        <f t="shared" si="38"/>
        <v/>
      </c>
      <c r="DB27" s="2" t="str">
        <f t="shared" si="39"/>
        <v/>
      </c>
      <c r="DC27" s="2" t="str">
        <f t="shared" si="40"/>
        <v/>
      </c>
      <c r="DD27" s="2" t="str">
        <f t="shared" si="41"/>
        <v>max_strength = 20</v>
      </c>
      <c r="DE27" s="2" t="str">
        <f t="shared" si="42"/>
        <v>maximum_speed = 2</v>
      </c>
      <c r="DF27" s="2" t="str">
        <f t="shared" si="43"/>
        <v/>
      </c>
      <c r="DG27" s="2" t="str">
        <f t="shared" si="44"/>
        <v>officers = 200</v>
      </c>
      <c r="DH27" s="2" t="str">
        <f t="shared" si="45"/>
        <v>on_completion = artillery_practical</v>
      </c>
      <c r="DI27" s="2" t="str">
        <f t="shared" si="46"/>
        <v/>
      </c>
      <c r="DJ27" s="2" t="str">
        <f t="shared" si="47"/>
        <v>priority = 3</v>
      </c>
      <c r="DK27" s="2" t="str">
        <f t="shared" si="48"/>
        <v>radio_strength = 1</v>
      </c>
      <c r="DL27" s="2" t="str">
        <f t="shared" si="49"/>
        <v>repair_cost_multiplier = 0.05</v>
      </c>
      <c r="DM27" s="2" t="str">
        <f t="shared" si="50"/>
        <v>river = { attack = -0.05 }</v>
      </c>
      <c r="DN27" s="2" t="str">
        <f t="shared" si="51"/>
        <v>soft_attack = 4.8</v>
      </c>
      <c r="DO27" s="2" t="str">
        <f t="shared" si="52"/>
        <v>softness = 0.8</v>
      </c>
      <c r="DP27" s="2" t="str">
        <f t="shared" si="53"/>
        <v>sprite = Infantry</v>
      </c>
      <c r="DQ27" s="2" t="str">
        <f t="shared" si="54"/>
        <v>supply_consumption = 2</v>
      </c>
      <c r="DR27" s="2" t="str">
        <f t="shared" si="55"/>
        <v>suppression = 0</v>
      </c>
      <c r="DS27" s="2" t="str">
        <f t="shared" si="56"/>
        <v>toughness = 1</v>
      </c>
      <c r="DT27" s="2" t="str">
        <f t="shared" si="57"/>
        <v>transport_weight = 15</v>
      </c>
      <c r="DU27" s="2" t="str">
        <f t="shared" si="58"/>
        <v>type = land</v>
      </c>
      <c r="DV27" s="2" t="str">
        <f t="shared" si="59"/>
        <v>unit_group = artillery_unit_type</v>
      </c>
      <c r="DW27" s="2" t="str">
        <f t="shared" si="60"/>
        <v/>
      </c>
      <c r="DX27" s="2" t="str">
        <f t="shared" si="61"/>
        <v/>
      </c>
      <c r="DY27" s="2" t="s">
        <v>0</v>
      </c>
      <c r="DZ27" s="2" t="str">
        <f t="shared" ref="DZ27" si="65">concat_code(BN27:DY27)</f>
        <v xml:space="preserve">heavy_artillery_brigade = {
forest = {
attack = -0.20
movement = -0.20
}
fort = {
attack = 0.60
}
hills = {
attack = -0.10
movement = -0.10
}
jungle = {
attack = -0.30
movement = -0.30
}
marsh = {
attack = -0.20
movement = -0.70
}
mountain = {
attack = -0.20
movement = -0.70
}
urban = {
attack = 0.40
}
woods = {
attack = -0.10
movement = -0.10
}
active = no
air_attack = 0.10
air_defence = 1.50
amphibious = { attack = -0.80 }
build_cost_ic = 10
build_cost_manpower = 2.66
build_time = 150
combat_width = 0
completion_size = 0.5
default_morale = 0.25
default_organisation = 20
defensiveness = 1
fort = {
attack = 0.60
}
fuel_consumption = 0.00
hard_attack = 1.00
max_strength = 20
maximum_speed = 2
officers = 200
on_completion = artillery_practical
priority = 3
radio_strength = 1
repair_cost_multiplier = 0.05
river = { attack = -0.05 }
soft_attack = 4.8
softness = 0.8
sprite = Infantry
supply_consumption = 2
suppression = 0
toughness = 1
transport_weight = 15
type = land
unit_group = artillery_unit_type
}
</v>
      </c>
    </row>
    <row r="29" spans="1:130" s="3" customFormat="1" x14ac:dyDescent="0.25">
      <c r="C29" s="1" t="s">
        <v>63</v>
      </c>
      <c r="D29" s="1" t="s">
        <v>52</v>
      </c>
      <c r="E29" s="1" t="s">
        <v>48</v>
      </c>
      <c r="F29" s="1" t="s">
        <v>285</v>
      </c>
      <c r="G29" s="1" t="s">
        <v>36</v>
      </c>
      <c r="H29" s="1" t="s">
        <v>37</v>
      </c>
      <c r="I29" s="1" t="s">
        <v>38</v>
      </c>
      <c r="J29" s="1" t="s">
        <v>55</v>
      </c>
      <c r="K29" s="1" t="s">
        <v>34</v>
      </c>
      <c r="L29" s="1" t="s">
        <v>33</v>
      </c>
      <c r="M29" s="1" t="s">
        <v>43</v>
      </c>
      <c r="N29" s="1" t="s">
        <v>51</v>
      </c>
      <c r="O29" s="1" t="s">
        <v>286</v>
      </c>
      <c r="P29" s="1" t="s">
        <v>287</v>
      </c>
      <c r="Q29" s="1" t="s">
        <v>32</v>
      </c>
      <c r="R29" s="1" t="s">
        <v>40</v>
      </c>
      <c r="S29" s="1" t="s">
        <v>35</v>
      </c>
      <c r="T29" s="1" t="s">
        <v>56</v>
      </c>
      <c r="U29" s="1" t="s">
        <v>57</v>
      </c>
      <c r="V29" s="1" t="s">
        <v>44</v>
      </c>
      <c r="W29" s="1" t="s">
        <v>288</v>
      </c>
      <c r="X29" s="1" t="s">
        <v>39</v>
      </c>
      <c r="Y29" s="1" t="s">
        <v>289</v>
      </c>
      <c r="Z29" s="1" t="s">
        <v>50</v>
      </c>
      <c r="AA29" s="1" t="s">
        <v>28</v>
      </c>
      <c r="AB29" s="1" t="s">
        <v>290</v>
      </c>
      <c r="AC29" s="1" t="s">
        <v>291</v>
      </c>
      <c r="AD29" s="1" t="s">
        <v>42</v>
      </c>
      <c r="AE29" s="1" t="s">
        <v>292</v>
      </c>
      <c r="AF29" s="1" t="s">
        <v>293</v>
      </c>
      <c r="AG29" s="1" t="s">
        <v>294</v>
      </c>
      <c r="AH29" s="1" t="s">
        <v>27</v>
      </c>
      <c r="AI29" s="1"/>
    </row>
    <row r="30" spans="1:130" s="3" customFormat="1" x14ac:dyDescent="0.25">
      <c r="A30" s="2" t="str">
        <f t="shared" ref="A30:A33" ca="1" si="66">$A$1&amp;"units\"&amp;B30&amp;".txt"</f>
        <v>C:\Program Files (x86)\Paradox Interactive\Hearts of Iron III\tfh\mod\ww1tfh\units\airship.txt</v>
      </c>
      <c r="B30" s="8" t="s">
        <v>261</v>
      </c>
      <c r="C30" s="5" t="s">
        <v>90</v>
      </c>
      <c r="D30" s="6">
        <v>0.5</v>
      </c>
      <c r="E30" s="9">
        <v>3</v>
      </c>
      <c r="F30" s="5" t="s">
        <v>135</v>
      </c>
      <c r="G30" s="5" t="s">
        <v>262</v>
      </c>
      <c r="H30" s="5" t="s">
        <v>135</v>
      </c>
      <c r="I30" s="5" t="s">
        <v>263</v>
      </c>
      <c r="J30" s="9">
        <v>2</v>
      </c>
      <c r="K30" s="5" t="s">
        <v>241</v>
      </c>
      <c r="L30" s="5" t="s">
        <v>264</v>
      </c>
      <c r="M30" s="5" t="s">
        <v>265</v>
      </c>
      <c r="N30" s="6" t="s">
        <v>106</v>
      </c>
      <c r="O30" s="5" t="s">
        <v>159</v>
      </c>
      <c r="P30" s="5" t="s">
        <v>62</v>
      </c>
      <c r="Q30" s="5" t="s">
        <v>137</v>
      </c>
      <c r="R30" s="6">
        <v>100</v>
      </c>
      <c r="S30" s="5" t="s">
        <v>133</v>
      </c>
      <c r="T30" s="5" t="s">
        <v>266</v>
      </c>
      <c r="U30" s="5" t="s">
        <v>179</v>
      </c>
      <c r="V30" s="5" t="s">
        <v>102</v>
      </c>
      <c r="W30" s="5" t="s">
        <v>267</v>
      </c>
      <c r="X30" s="5" t="s">
        <v>113</v>
      </c>
      <c r="Y30" s="5" t="s">
        <v>106</v>
      </c>
      <c r="Z30" s="5" t="s">
        <v>115</v>
      </c>
      <c r="AA30" s="5" t="s">
        <v>268</v>
      </c>
      <c r="AB30" s="6">
        <v>2</v>
      </c>
      <c r="AC30" s="6" t="s">
        <v>106</v>
      </c>
      <c r="AD30" s="5" t="s">
        <v>147</v>
      </c>
      <c r="AE30" s="5" t="s">
        <v>212</v>
      </c>
      <c r="AF30" s="5" t="s">
        <v>135</v>
      </c>
      <c r="AG30" s="5">
        <v>3</v>
      </c>
      <c r="AH30" s="5" t="s">
        <v>269</v>
      </c>
      <c r="BN30" s="3" t="str">
        <f>B30&amp;" = {"</f>
        <v>airship = {</v>
      </c>
      <c r="BO30" s="3" t="str">
        <f>IF(C30="","",C$29&amp;" = "&amp;C30)</f>
        <v>active = no</v>
      </c>
      <c r="BP30" s="3" t="str">
        <f t="shared" ref="BP30:BP33" si="67">IF(D30="","",D$29&amp;" = "&amp;D30)</f>
        <v>air_attack = 0.5</v>
      </c>
      <c r="BQ30" s="3" t="str">
        <f t="shared" ref="BQ30:BQ33" si="68">IF(E30="","",E$29&amp;" = "&amp;E30)</f>
        <v>air_defence = 3</v>
      </c>
      <c r="BR30" s="3" t="str">
        <f t="shared" ref="BR30:BR33" si="69">IF(F30="","",F$29&amp;" = "&amp;F30)</f>
        <v>air_detection = 2.00</v>
      </c>
      <c r="BS30" s="3" t="str">
        <f t="shared" ref="BS30:BS33" si="70">IF(G30="","",G$29&amp;" = "&amp;G30)</f>
        <v>build_cost_ic = 17.00</v>
      </c>
      <c r="BT30" s="3" t="str">
        <f t="shared" ref="BT30:BT33" si="71">IF(H30="","",H$29&amp;" = "&amp;H30)</f>
        <v>build_cost_manpower = 2.00</v>
      </c>
      <c r="BU30" s="3" t="str">
        <f t="shared" ref="BU30:BU33" si="72">IF(I30="","",I$29&amp;" = "&amp;I30)</f>
        <v>build_time = 300</v>
      </c>
      <c r="BV30" s="3" t="str">
        <f t="shared" ref="BV30:BV33" si="73">IF(J30="","",J$29&amp;" = "&amp;J30)</f>
        <v>completion_size = 2</v>
      </c>
      <c r="BW30" s="3" t="str">
        <f t="shared" ref="BW30:BW33" si="74">IF(K30="","",K$29&amp;" = "&amp;K30)</f>
        <v>default_morale = 0.30</v>
      </c>
      <c r="BX30" s="3" t="str">
        <f t="shared" ref="BX30:BX33" si="75">IF(L30="","",L$29&amp;" = "&amp;L30)</f>
        <v>default_organisation = 30</v>
      </c>
      <c r="BY30" s="3" t="str">
        <f t="shared" ref="BY30:BY33" si="76">IF(M30="","",M$29&amp;" = "&amp;M30)</f>
        <v>fuel_consumption = 4.60</v>
      </c>
      <c r="BZ30" s="3" t="str">
        <f t="shared" ref="BZ30:BZ33" si="77">IF(N30="","",N$29&amp;" = "&amp;N30)</f>
        <v>hard_attack = 0.00</v>
      </c>
      <c r="CA30" s="3" t="str">
        <f t="shared" ref="CA30:CA33" si="78">IF(O30="","",O$29&amp;" = "&amp;O30)</f>
        <v>is_bomber = yes</v>
      </c>
      <c r="CB30" s="3" t="str">
        <f t="shared" ref="CB30:CB33" si="79">IF(P30="","",P$29&amp;" = "&amp;P30)</f>
        <v/>
      </c>
      <c r="CC30" s="3" t="str">
        <f t="shared" ref="CC30:CC33" si="80">IF(Q30="","",Q$29&amp;" = "&amp;Q30)</f>
        <v>max_strength = 100</v>
      </c>
      <c r="CD30" s="3" t="str">
        <f t="shared" ref="CD30:CD33" si="81">IF(R30="","",R$29&amp;" = "&amp;R30)</f>
        <v>maximum_speed = 100</v>
      </c>
      <c r="CE30" s="3" t="str">
        <f t="shared" ref="CE30:CE33" si="82">IF(S30="","",S$29&amp;" = "&amp;S30)</f>
        <v>officers = 0</v>
      </c>
      <c r="CF30" s="3" t="str">
        <f t="shared" ref="CF30:CF33" si="83">IF(T30="","",T$29&amp;" = "&amp;T30)</f>
        <v>on_completion = airship_practical</v>
      </c>
      <c r="CG30" s="3" t="str">
        <f t="shared" ref="CG30:CG33" si="84">IF(U30="","",U$29&amp;" = "&amp;U30)</f>
        <v>priority = 4</v>
      </c>
      <c r="CH30" s="3" t="str">
        <f t="shared" ref="CH30:CH33" si="85">IF(V30="","",V$29&amp;" = "&amp;V30)</f>
        <v>radio_strength = 1</v>
      </c>
      <c r="CI30" s="3" t="str">
        <f t="shared" ref="CI30:CI33" si="86">IF(W30="","",W$29&amp;" = "&amp;W30)</f>
        <v>range = 800.00</v>
      </c>
      <c r="CJ30" s="3" t="str">
        <f t="shared" ref="CJ30:CJ33" si="87">IF(X30="","",X$29&amp;" = "&amp;X30)</f>
        <v>repair_cost_multiplier = 0.05</v>
      </c>
      <c r="CK30" s="3" t="str">
        <f t="shared" ref="CK30:CK33" si="88">IF(Y30="","",Y$29&amp;" = "&amp;Y30)</f>
        <v>sea_attack = 0.00</v>
      </c>
      <c r="CL30" s="3" t="str">
        <f t="shared" ref="CL30:CL33" si="89">IF(Z30="","",Z$29&amp;" = "&amp;Z30)</f>
        <v>soft_attack = 1.00</v>
      </c>
      <c r="CM30" s="3" t="str">
        <f t="shared" ref="CM30:CM33" si="90">IF(AA30="","",AA$29&amp;" = "&amp;AA30)</f>
        <v>sprite = Bomber</v>
      </c>
      <c r="CN30" s="3" t="str">
        <f t="shared" ref="CN30:CN33" si="91">IF(AB30="","",AB$29&amp;" = "&amp;AB30)</f>
        <v>strategic_attack = 2</v>
      </c>
      <c r="CO30" s="3" t="str">
        <f t="shared" ref="CO30:CO33" si="92">IF(AC30="","",AC$29&amp;" = "&amp;AC30)</f>
        <v>sub_attack = 0.00</v>
      </c>
      <c r="CP30" s="3" t="str">
        <f t="shared" ref="CP30:CP33" si="93">IF(AD30="","",AD$29&amp;" = "&amp;AD30)</f>
        <v>supply_consumption = 3.00</v>
      </c>
      <c r="CQ30" s="3" t="str">
        <f t="shared" ref="CQ30:CQ33" si="94">IF(AE30="","",AE$29&amp;" = "&amp;AE30)</f>
        <v>surface_defence = 8.00</v>
      </c>
      <c r="CR30" s="3" t="str">
        <f t="shared" ref="CR30:CR33" si="95">IF(AF30="","",AF$29&amp;" = "&amp;AF30)</f>
        <v>surface_detection = 2.00</v>
      </c>
      <c r="CS30" s="3" t="str">
        <f t="shared" ref="CS30:CS33" si="96">IF(AG30="","",AG$29&amp;" = "&amp;AG30)</f>
        <v>transport_capability = 3</v>
      </c>
      <c r="CT30" s="3" t="str">
        <f t="shared" ref="CT30:CT33" si="97">IF(AH30="","",AH$29&amp;" = "&amp;AH30)</f>
        <v>type = air</v>
      </c>
      <c r="CU30" s="3" t="s">
        <v>0</v>
      </c>
      <c r="DZ30" s="3" t="str">
        <f>concat_code(BN30:CU30)</f>
        <v xml:space="preserve">airship = {
active = no
air_attack = 0.5
air_defence = 3
air_detection = 2.00
build_cost_ic = 17.00
build_cost_manpower = 2.00
build_time = 300
completion_size = 2
default_morale = 0.30
default_organisation = 30
fuel_consumption = 4.60
hard_attack = 0.00
is_bomber = yes
max_strength = 100
maximum_speed = 100
officers = 0
on_completion = airship_practical
priority = 4
radio_strength = 1
range = 800.00
repair_cost_multiplier = 0.05
sea_attack = 0.00
soft_attack = 1.00
sprite = Bomber
strategic_attack = 2
sub_attack = 0.00
supply_consumption = 3.00
surface_defence = 8.00
surface_detection = 2.00
transport_capability = 3
type = air
}
</v>
      </c>
    </row>
    <row r="31" spans="1:130" s="3" customFormat="1" x14ac:dyDescent="0.25">
      <c r="A31" s="2" t="str">
        <f t="shared" ca="1" si="66"/>
        <v>C:\Program Files (x86)\Paradox Interactive\Hearts of Iron III\tfh\mod\ww1tfh\units\cag.txt</v>
      </c>
      <c r="B31" s="8" t="s">
        <v>258</v>
      </c>
      <c r="C31" s="5" t="s">
        <v>90</v>
      </c>
      <c r="D31" s="6">
        <v>1</v>
      </c>
      <c r="E31" s="6">
        <v>1.5</v>
      </c>
      <c r="F31" s="5" t="s">
        <v>135</v>
      </c>
      <c r="G31" s="5" t="s">
        <v>270</v>
      </c>
      <c r="H31" s="5" t="s">
        <v>271</v>
      </c>
      <c r="I31" s="5" t="s">
        <v>272</v>
      </c>
      <c r="J31" s="9" t="s">
        <v>273</v>
      </c>
      <c r="K31" s="5" t="s">
        <v>241</v>
      </c>
      <c r="L31" s="5" t="s">
        <v>264</v>
      </c>
      <c r="M31" s="5" t="s">
        <v>274</v>
      </c>
      <c r="N31" s="6">
        <v>1</v>
      </c>
      <c r="O31" s="5" t="s">
        <v>62</v>
      </c>
      <c r="P31" s="5" t="s">
        <v>159</v>
      </c>
      <c r="Q31" s="5" t="s">
        <v>137</v>
      </c>
      <c r="R31" s="6">
        <v>120</v>
      </c>
      <c r="S31" s="5" t="s">
        <v>133</v>
      </c>
      <c r="T31" s="5" t="s">
        <v>275</v>
      </c>
      <c r="U31" s="5" t="s">
        <v>146</v>
      </c>
      <c r="V31" s="5" t="s">
        <v>102</v>
      </c>
      <c r="W31" s="9">
        <v>300</v>
      </c>
      <c r="X31" s="5" t="s">
        <v>113</v>
      </c>
      <c r="Y31" s="6">
        <v>2</v>
      </c>
      <c r="Z31" s="5" t="s">
        <v>135</v>
      </c>
      <c r="AA31" s="5" t="s">
        <v>276</v>
      </c>
      <c r="AB31" s="6" t="s">
        <v>106</v>
      </c>
      <c r="AC31" s="6">
        <v>3</v>
      </c>
      <c r="AD31" s="5" t="s">
        <v>271</v>
      </c>
      <c r="AE31" s="5" t="s">
        <v>147</v>
      </c>
      <c r="AF31" s="5" t="s">
        <v>135</v>
      </c>
      <c r="AG31" s="5" t="s">
        <v>106</v>
      </c>
      <c r="AH31" s="5" t="s">
        <v>269</v>
      </c>
      <c r="BN31" s="3" t="str">
        <f>B31&amp;" = {"</f>
        <v>cag = {</v>
      </c>
      <c r="BO31" s="3" t="str">
        <f t="shared" ref="BO31:BO33" si="98">IF(C31="","",C$29&amp;" = "&amp;C31)</f>
        <v>active = no</v>
      </c>
      <c r="BP31" s="3" t="str">
        <f t="shared" si="67"/>
        <v>air_attack = 1</v>
      </c>
      <c r="BQ31" s="3" t="str">
        <f t="shared" si="68"/>
        <v>air_defence = 1.5</v>
      </c>
      <c r="BR31" s="3" t="str">
        <f t="shared" si="69"/>
        <v>air_detection = 2.00</v>
      </c>
      <c r="BS31" s="3" t="str">
        <f t="shared" si="70"/>
        <v>build_cost_ic = 9.8</v>
      </c>
      <c r="BT31" s="3" t="str">
        <f t="shared" si="71"/>
        <v>build_cost_manpower = 1.10</v>
      </c>
      <c r="BU31" s="3" t="str">
        <f t="shared" si="72"/>
        <v>build_time = 180</v>
      </c>
      <c r="BV31" s="3" t="str">
        <f t="shared" si="73"/>
        <v>completion_size = 1.8</v>
      </c>
      <c r="BW31" s="3" t="str">
        <f t="shared" si="74"/>
        <v>default_morale = 0.30</v>
      </c>
      <c r="BX31" s="3" t="str">
        <f t="shared" si="75"/>
        <v>default_organisation = 30</v>
      </c>
      <c r="BY31" s="3" t="str">
        <f t="shared" si="76"/>
        <v>fuel_consumption = 1.70</v>
      </c>
      <c r="BZ31" s="3" t="str">
        <f t="shared" si="77"/>
        <v>hard_attack = 1</v>
      </c>
      <c r="CA31" s="3" t="str">
        <f t="shared" si="78"/>
        <v/>
      </c>
      <c r="CB31" s="3" t="str">
        <f t="shared" si="79"/>
        <v>is_cag = yes</v>
      </c>
      <c r="CC31" s="3" t="str">
        <f t="shared" si="80"/>
        <v>max_strength = 100</v>
      </c>
      <c r="CD31" s="3" t="str">
        <f t="shared" si="81"/>
        <v>maximum_speed = 120</v>
      </c>
      <c r="CE31" s="3" t="str">
        <f t="shared" si="82"/>
        <v>officers = 0</v>
      </c>
      <c r="CF31" s="3" t="str">
        <f t="shared" si="83"/>
        <v>on_completion = single_engine_aircraft_practical</v>
      </c>
      <c r="CG31" s="3" t="str">
        <f t="shared" si="84"/>
        <v>priority = 5</v>
      </c>
      <c r="CH31" s="3" t="str">
        <f t="shared" si="85"/>
        <v>radio_strength = 1</v>
      </c>
      <c r="CI31" s="3" t="str">
        <f t="shared" si="86"/>
        <v>range = 300</v>
      </c>
      <c r="CJ31" s="3" t="str">
        <f t="shared" si="87"/>
        <v>repair_cost_multiplier = 0.05</v>
      </c>
      <c r="CK31" s="3" t="str">
        <f t="shared" si="88"/>
        <v>sea_attack = 2</v>
      </c>
      <c r="CL31" s="3" t="str">
        <f t="shared" si="89"/>
        <v>soft_attack = 2.00</v>
      </c>
      <c r="CM31" s="3" t="str">
        <f t="shared" si="90"/>
        <v>sprite = Fighter</v>
      </c>
      <c r="CN31" s="3" t="str">
        <f t="shared" si="91"/>
        <v>strategic_attack = 0.00</v>
      </c>
      <c r="CO31" s="3" t="str">
        <f t="shared" si="92"/>
        <v>sub_attack = 3</v>
      </c>
      <c r="CP31" s="3" t="str">
        <f t="shared" si="93"/>
        <v>supply_consumption = 1.10</v>
      </c>
      <c r="CQ31" s="3" t="str">
        <f t="shared" si="94"/>
        <v>surface_defence = 3.00</v>
      </c>
      <c r="CR31" s="3" t="str">
        <f t="shared" si="95"/>
        <v>surface_detection = 2.00</v>
      </c>
      <c r="CS31" s="3" t="str">
        <f t="shared" si="96"/>
        <v>transport_capability = 0.00</v>
      </c>
      <c r="CT31" s="3" t="str">
        <f t="shared" si="97"/>
        <v>type = air</v>
      </c>
      <c r="CU31" s="3" t="s">
        <v>0</v>
      </c>
      <c r="DZ31" s="3" t="str">
        <f>concat_code(BN31:CU31)</f>
        <v xml:space="preserve">cag = {
active = no
air_attack = 1
air_defence = 1.5
air_detection = 2.00
build_cost_ic = 9.8
build_cost_manpower = 1.10
build_time = 180
completion_size = 1.8
default_morale = 0.30
default_organisation = 30
fuel_consumption = 1.70
hard_attack = 1
is_cag = yes
max_strength = 100
maximum_speed = 120
officers = 0
on_completion = single_engine_aircraft_practical
priority = 5
radio_strength = 1
range = 300
repair_cost_multiplier = 0.05
sea_attack = 2
soft_attack = 2.00
sprite = Fighter
strategic_attack = 0.00
sub_attack = 3
supply_consumption = 1.10
surface_defence = 3.00
surface_detection = 2.00
transport_capability = 0.00
type = air
}
</v>
      </c>
    </row>
    <row r="32" spans="1:130" s="3" customFormat="1" x14ac:dyDescent="0.25">
      <c r="A32" s="2" t="str">
        <f t="shared" ca="1" si="66"/>
        <v>C:\Program Files (x86)\Paradox Interactive\Hearts of Iron III\tfh\mod\ww1tfh\units\interceptor.txt</v>
      </c>
      <c r="B32" s="8" t="s">
        <v>259</v>
      </c>
      <c r="C32" s="5" t="s">
        <v>90</v>
      </c>
      <c r="D32" s="6">
        <v>1</v>
      </c>
      <c r="E32" s="6">
        <v>2</v>
      </c>
      <c r="F32" s="5" t="s">
        <v>115</v>
      </c>
      <c r="G32" s="5" t="s">
        <v>277</v>
      </c>
      <c r="H32" s="5" t="s">
        <v>115</v>
      </c>
      <c r="I32" s="5" t="s">
        <v>210</v>
      </c>
      <c r="J32" s="9" t="s">
        <v>278</v>
      </c>
      <c r="K32" s="5" t="s">
        <v>241</v>
      </c>
      <c r="L32" s="5" t="s">
        <v>264</v>
      </c>
      <c r="M32" s="5" t="s">
        <v>274</v>
      </c>
      <c r="N32" s="6" t="s">
        <v>106</v>
      </c>
      <c r="O32" s="5" t="s">
        <v>62</v>
      </c>
      <c r="P32" s="5" t="s">
        <v>62</v>
      </c>
      <c r="Q32" s="5" t="s">
        <v>137</v>
      </c>
      <c r="R32" s="6">
        <v>120</v>
      </c>
      <c r="S32" s="5" t="s">
        <v>133</v>
      </c>
      <c r="T32" s="5" t="s">
        <v>275</v>
      </c>
      <c r="U32" s="5" t="s">
        <v>146</v>
      </c>
      <c r="V32" s="5" t="s">
        <v>102</v>
      </c>
      <c r="W32" s="9">
        <v>180</v>
      </c>
      <c r="X32" s="5" t="s">
        <v>113</v>
      </c>
      <c r="Y32" s="5" t="s">
        <v>106</v>
      </c>
      <c r="Z32" s="5" t="s">
        <v>115</v>
      </c>
      <c r="AA32" s="5" t="s">
        <v>276</v>
      </c>
      <c r="AB32" s="6" t="s">
        <v>106</v>
      </c>
      <c r="AC32" s="6" t="s">
        <v>106</v>
      </c>
      <c r="AD32" s="5" t="s">
        <v>141</v>
      </c>
      <c r="AE32" s="5" t="s">
        <v>106</v>
      </c>
      <c r="AF32" s="5" t="s">
        <v>115</v>
      </c>
      <c r="AG32" s="5" t="s">
        <v>106</v>
      </c>
      <c r="AH32" s="5" t="s">
        <v>269</v>
      </c>
      <c r="BN32" s="3" t="str">
        <f>B32&amp;" = {"</f>
        <v>interceptor = {</v>
      </c>
      <c r="BO32" s="3" t="str">
        <f t="shared" si="98"/>
        <v>active = no</v>
      </c>
      <c r="BP32" s="3" t="str">
        <f t="shared" si="67"/>
        <v>air_attack = 1</v>
      </c>
      <c r="BQ32" s="3" t="str">
        <f t="shared" si="68"/>
        <v>air_defence = 2</v>
      </c>
      <c r="BR32" s="3" t="str">
        <f t="shared" si="69"/>
        <v>air_detection = 1.00</v>
      </c>
      <c r="BS32" s="3" t="str">
        <f t="shared" si="70"/>
        <v>build_cost_ic = 14.00</v>
      </c>
      <c r="BT32" s="3" t="str">
        <f t="shared" si="71"/>
        <v>build_cost_manpower = 1.00</v>
      </c>
      <c r="BU32" s="3" t="str">
        <f t="shared" si="72"/>
        <v>build_time = 140</v>
      </c>
      <c r="BV32" s="3" t="str">
        <f t="shared" si="73"/>
        <v>completion_size = 2.0</v>
      </c>
      <c r="BW32" s="3" t="str">
        <f t="shared" si="74"/>
        <v>default_morale = 0.30</v>
      </c>
      <c r="BX32" s="3" t="str">
        <f t="shared" si="75"/>
        <v>default_organisation = 30</v>
      </c>
      <c r="BY32" s="3" t="str">
        <f t="shared" si="76"/>
        <v>fuel_consumption = 1.70</v>
      </c>
      <c r="BZ32" s="3" t="str">
        <f t="shared" si="77"/>
        <v>hard_attack = 0.00</v>
      </c>
      <c r="CA32" s="3" t="str">
        <f t="shared" si="78"/>
        <v/>
      </c>
      <c r="CB32" s="3" t="str">
        <f t="shared" si="79"/>
        <v/>
      </c>
      <c r="CC32" s="3" t="str">
        <f t="shared" si="80"/>
        <v>max_strength = 100</v>
      </c>
      <c r="CD32" s="3" t="str">
        <f t="shared" si="81"/>
        <v>maximum_speed = 120</v>
      </c>
      <c r="CE32" s="3" t="str">
        <f t="shared" si="82"/>
        <v>officers = 0</v>
      </c>
      <c r="CF32" s="3" t="str">
        <f t="shared" si="83"/>
        <v>on_completion = single_engine_aircraft_practical</v>
      </c>
      <c r="CG32" s="3" t="str">
        <f t="shared" si="84"/>
        <v>priority = 5</v>
      </c>
      <c r="CH32" s="3" t="str">
        <f t="shared" si="85"/>
        <v>radio_strength = 1</v>
      </c>
      <c r="CI32" s="3" t="str">
        <f t="shared" si="86"/>
        <v>range = 180</v>
      </c>
      <c r="CJ32" s="3" t="str">
        <f t="shared" si="87"/>
        <v>repair_cost_multiplier = 0.05</v>
      </c>
      <c r="CK32" s="3" t="str">
        <f t="shared" si="88"/>
        <v>sea_attack = 0.00</v>
      </c>
      <c r="CL32" s="3" t="str">
        <f t="shared" si="89"/>
        <v>soft_attack = 1.00</v>
      </c>
      <c r="CM32" s="3" t="str">
        <f t="shared" si="90"/>
        <v>sprite = Fighter</v>
      </c>
      <c r="CN32" s="3" t="str">
        <f t="shared" si="91"/>
        <v>strategic_attack = 0.00</v>
      </c>
      <c r="CO32" s="3" t="str">
        <f t="shared" si="92"/>
        <v>sub_attack = 0.00</v>
      </c>
      <c r="CP32" s="3" t="str">
        <f t="shared" si="93"/>
        <v>supply_consumption = 0.70</v>
      </c>
      <c r="CQ32" s="3" t="str">
        <f t="shared" si="94"/>
        <v>surface_defence = 0.00</v>
      </c>
      <c r="CR32" s="3" t="str">
        <f t="shared" si="95"/>
        <v>surface_detection = 1.00</v>
      </c>
      <c r="CS32" s="3" t="str">
        <f t="shared" si="96"/>
        <v>transport_capability = 0.00</v>
      </c>
      <c r="CT32" s="3" t="str">
        <f t="shared" si="97"/>
        <v>type = air</v>
      </c>
      <c r="CU32" s="3" t="s">
        <v>0</v>
      </c>
      <c r="DZ32" s="3" t="str">
        <f>concat_code(BN32:CU32)</f>
        <v xml:space="preserve">interceptor = {
active = no
air_attack = 1
air_defence = 2
air_detection = 1.00
build_cost_ic = 14.00
build_cost_manpower = 1.00
build_time = 140
completion_size = 2.0
default_morale = 0.30
default_organisation = 30
fuel_consumption = 1.70
hard_attack = 0.00
max_strength = 100
maximum_speed = 120
officers = 0
on_completion = single_engine_aircraft_practical
priority = 5
radio_strength = 1
range = 180
repair_cost_multiplier = 0.05
sea_attack = 0.00
soft_attack = 1.00
sprite = Fighter
strategic_attack = 0.00
sub_attack = 0.00
supply_consumption = 0.70
surface_defence = 0.00
surface_detection = 1.00
transport_capability = 0.00
type = air
}
</v>
      </c>
    </row>
    <row r="33" spans="1:130" s="3" customFormat="1" x14ac:dyDescent="0.25">
      <c r="A33" s="2" t="str">
        <f t="shared" ca="1" si="66"/>
        <v>C:\Program Files (x86)\Paradox Interactive\Hearts of Iron III\tfh\mod\ww1tfh\units\tactical_bomber.txt</v>
      </c>
      <c r="B33" s="8" t="s">
        <v>260</v>
      </c>
      <c r="C33" s="5" t="s">
        <v>90</v>
      </c>
      <c r="D33" s="6">
        <v>0</v>
      </c>
      <c r="E33" s="6">
        <v>1.3</v>
      </c>
      <c r="F33" s="5" t="s">
        <v>106</v>
      </c>
      <c r="G33" s="5" t="s">
        <v>279</v>
      </c>
      <c r="H33" s="5" t="s">
        <v>199</v>
      </c>
      <c r="I33" s="5" t="s">
        <v>280</v>
      </c>
      <c r="J33" s="9">
        <v>2.5</v>
      </c>
      <c r="K33" s="5" t="s">
        <v>241</v>
      </c>
      <c r="L33" s="5" t="s">
        <v>264</v>
      </c>
      <c r="M33" s="5" t="s">
        <v>281</v>
      </c>
      <c r="N33" s="6">
        <v>1</v>
      </c>
      <c r="O33" s="5" t="s">
        <v>159</v>
      </c>
      <c r="P33" s="5" t="s">
        <v>62</v>
      </c>
      <c r="Q33" s="5" t="s">
        <v>137</v>
      </c>
      <c r="R33" s="6">
        <v>100</v>
      </c>
      <c r="S33" s="5" t="s">
        <v>133</v>
      </c>
      <c r="T33" s="5" t="s">
        <v>282</v>
      </c>
      <c r="U33" s="5" t="s">
        <v>139</v>
      </c>
      <c r="V33" s="5" t="s">
        <v>102</v>
      </c>
      <c r="W33" s="10" t="s">
        <v>283</v>
      </c>
      <c r="X33" s="5" t="s">
        <v>113</v>
      </c>
      <c r="Y33" s="6">
        <v>0</v>
      </c>
      <c r="Z33" s="5">
        <v>3</v>
      </c>
      <c r="AA33" s="5" t="s">
        <v>284</v>
      </c>
      <c r="AB33" s="6">
        <v>0</v>
      </c>
      <c r="AC33" s="6">
        <v>1</v>
      </c>
      <c r="AD33" s="5" t="s">
        <v>135</v>
      </c>
      <c r="AE33" s="5" t="s">
        <v>158</v>
      </c>
      <c r="AF33" s="5" t="s">
        <v>135</v>
      </c>
      <c r="AG33" s="5" t="s">
        <v>106</v>
      </c>
      <c r="AH33" s="5" t="s">
        <v>269</v>
      </c>
      <c r="BN33" s="3" t="str">
        <f>B33&amp;" = {"</f>
        <v>tactical_bomber = {</v>
      </c>
      <c r="BO33" s="3" t="str">
        <f t="shared" si="98"/>
        <v>active = no</v>
      </c>
      <c r="BP33" s="3" t="str">
        <f t="shared" si="67"/>
        <v>air_attack = 0</v>
      </c>
      <c r="BQ33" s="3" t="str">
        <f t="shared" si="68"/>
        <v>air_defence = 1.3</v>
      </c>
      <c r="BR33" s="3" t="str">
        <f t="shared" si="69"/>
        <v>air_detection = 0.00</v>
      </c>
      <c r="BS33" s="3" t="str">
        <f t="shared" si="70"/>
        <v>build_cost_ic = 16.00</v>
      </c>
      <c r="BT33" s="3" t="str">
        <f t="shared" si="71"/>
        <v>build_cost_manpower = 1.60</v>
      </c>
      <c r="BU33" s="3" t="str">
        <f t="shared" si="72"/>
        <v>build_time = 220</v>
      </c>
      <c r="BV33" s="3" t="str">
        <f t="shared" si="73"/>
        <v>completion_size = 2.5</v>
      </c>
      <c r="BW33" s="3" t="str">
        <f t="shared" si="74"/>
        <v>default_morale = 0.30</v>
      </c>
      <c r="BX33" s="3" t="str">
        <f t="shared" si="75"/>
        <v>default_organisation = 30</v>
      </c>
      <c r="BY33" s="3" t="str">
        <f t="shared" si="76"/>
        <v>fuel_consumption = 3.45</v>
      </c>
      <c r="BZ33" s="3" t="str">
        <f t="shared" si="77"/>
        <v>hard_attack = 1</v>
      </c>
      <c r="CA33" s="3" t="str">
        <f t="shared" si="78"/>
        <v>is_bomber = yes</v>
      </c>
      <c r="CB33" s="3" t="str">
        <f t="shared" si="79"/>
        <v/>
      </c>
      <c r="CC33" s="3" t="str">
        <f t="shared" si="80"/>
        <v>max_strength = 100</v>
      </c>
      <c r="CD33" s="3" t="str">
        <f t="shared" si="81"/>
        <v>maximum_speed = 100</v>
      </c>
      <c r="CE33" s="3" t="str">
        <f t="shared" si="82"/>
        <v>officers = 0</v>
      </c>
      <c r="CF33" s="3" t="str">
        <f t="shared" si="83"/>
        <v>on_completion = twin_engine_aircraft_practical</v>
      </c>
      <c r="CG33" s="3" t="str">
        <f t="shared" si="84"/>
        <v>priority = 3</v>
      </c>
      <c r="CH33" s="3" t="str">
        <f t="shared" si="85"/>
        <v>radio_strength = 1</v>
      </c>
      <c r="CI33" s="3" t="str">
        <f t="shared" si="86"/>
        <v>range = 400.00</v>
      </c>
      <c r="CJ33" s="3" t="str">
        <f t="shared" si="87"/>
        <v>repair_cost_multiplier = 0.05</v>
      </c>
      <c r="CK33" s="3" t="str">
        <f t="shared" si="88"/>
        <v>sea_attack = 0</v>
      </c>
      <c r="CL33" s="3" t="str">
        <f t="shared" si="89"/>
        <v>soft_attack = 3</v>
      </c>
      <c r="CM33" s="3" t="str">
        <f t="shared" si="90"/>
        <v>sprite = Tactical</v>
      </c>
      <c r="CN33" s="3" t="str">
        <f t="shared" si="91"/>
        <v>strategic_attack = 0</v>
      </c>
      <c r="CO33" s="3" t="str">
        <f t="shared" si="92"/>
        <v>sub_attack = 1</v>
      </c>
      <c r="CP33" s="3" t="str">
        <f t="shared" si="93"/>
        <v>supply_consumption = 2.00</v>
      </c>
      <c r="CQ33" s="3" t="str">
        <f t="shared" si="94"/>
        <v>surface_defence = 3.50</v>
      </c>
      <c r="CR33" s="3" t="str">
        <f t="shared" si="95"/>
        <v>surface_detection = 2.00</v>
      </c>
      <c r="CS33" s="3" t="str">
        <f t="shared" si="96"/>
        <v>transport_capability = 0.00</v>
      </c>
      <c r="CT33" s="3" t="str">
        <f t="shared" si="97"/>
        <v>type = air</v>
      </c>
      <c r="CU33" s="3" t="s">
        <v>0</v>
      </c>
      <c r="DZ33" s="3" t="str">
        <f>concat_code(BN33:CU33)</f>
        <v xml:space="preserve">tactical_bomber = {
active = no
air_attack = 0
air_defence = 1.3
air_detection = 0.00
build_cost_ic = 16.00
build_cost_manpower = 1.60
build_time = 220
completion_size = 2.5
default_morale = 0.30
default_organisation = 30
fuel_consumption = 3.45
hard_attack = 1
is_bomber = yes
max_strength = 100
maximum_speed = 100
officers = 0
on_completion = twin_engine_aircraft_practical
priority = 3
radio_strength = 1
range = 400.00
repair_cost_multiplier = 0.05
sea_attack = 0
soft_attack = 3
sprite = Tactical
strategic_attack = 0
sub_attack = 1
supply_consumption = 2.00
surface_defence = 3.50
surface_detection = 2.00
transport_capability = 0.00
type = air
}
</v>
      </c>
    </row>
    <row r="35" spans="1:130" s="3" customFormat="1" x14ac:dyDescent="0.25">
      <c r="C35" s="1" t="s">
        <v>63</v>
      </c>
      <c r="D35" s="1" t="s">
        <v>52</v>
      </c>
      <c r="E35" s="1" t="s">
        <v>48</v>
      </c>
      <c r="F35" s="1" t="s">
        <v>36</v>
      </c>
      <c r="G35" s="1" t="s">
        <v>37</v>
      </c>
      <c r="H35" s="1" t="s">
        <v>38</v>
      </c>
      <c r="I35" s="1" t="s">
        <v>55</v>
      </c>
      <c r="J35" s="1" t="s">
        <v>34</v>
      </c>
      <c r="K35" s="1" t="s">
        <v>33</v>
      </c>
      <c r="L35" s="1" t="s">
        <v>43</v>
      </c>
      <c r="M35" s="1" t="s">
        <v>32</v>
      </c>
      <c r="N35" s="1" t="s">
        <v>40</v>
      </c>
      <c r="O35" s="1" t="s">
        <v>35</v>
      </c>
      <c r="P35" s="1" t="s">
        <v>56</v>
      </c>
      <c r="Q35" s="1" t="s">
        <v>57</v>
      </c>
      <c r="R35" s="1" t="s">
        <v>44</v>
      </c>
      <c r="S35" s="1" t="s">
        <v>39</v>
      </c>
      <c r="T35" s="1" t="s">
        <v>28</v>
      </c>
      <c r="U35" s="1" t="s">
        <v>42</v>
      </c>
      <c r="V35" s="1" t="s">
        <v>27</v>
      </c>
      <c r="W35" s="1" t="s">
        <v>306</v>
      </c>
      <c r="X35" s="1" t="s">
        <v>308</v>
      </c>
      <c r="Y35" s="1" t="s">
        <v>309</v>
      </c>
      <c r="Z35" s="1" t="s">
        <v>310</v>
      </c>
      <c r="AA35" s="1" t="s">
        <v>295</v>
      </c>
      <c r="AB35" s="1" t="s">
        <v>294</v>
      </c>
      <c r="AC35" s="1" t="s">
        <v>288</v>
      </c>
      <c r="AD35" s="1" t="s">
        <v>311</v>
      </c>
      <c r="AE35" s="1" t="s">
        <v>293</v>
      </c>
      <c r="AF35" s="1" t="s">
        <v>285</v>
      </c>
      <c r="AG35" s="1" t="s">
        <v>312</v>
      </c>
      <c r="AH35" s="1" t="s">
        <v>313</v>
      </c>
      <c r="AI35" s="1" t="s">
        <v>314</v>
      </c>
      <c r="AJ35" s="1" t="s">
        <v>315</v>
      </c>
      <c r="AK35" s="1" t="s">
        <v>289</v>
      </c>
      <c r="AL35" s="1" t="s">
        <v>291</v>
      </c>
      <c r="AM35" s="1" t="s">
        <v>316</v>
      </c>
      <c r="AN35" s="1" t="s">
        <v>317</v>
      </c>
      <c r="AO35" s="1" t="s">
        <v>318</v>
      </c>
      <c r="AP35" s="1" t="s">
        <v>319</v>
      </c>
      <c r="AQ35" s="1" t="s">
        <v>320</v>
      </c>
      <c r="AR35" s="1"/>
    </row>
    <row r="36" spans="1:130" s="3" customFormat="1" x14ac:dyDescent="0.25">
      <c r="A36" s="2" t="str">
        <f t="shared" ref="A36:A47" ca="1" si="99">$A$1&amp;"units\"&amp;B36&amp;".txt"</f>
        <v>C:\Program Files (x86)\Paradox Interactive\Hearts of Iron III\tfh\mod\ww1tfh\units\assault_ship.txt</v>
      </c>
      <c r="B36" s="3" t="s">
        <v>296</v>
      </c>
      <c r="C36" s="5" t="s">
        <v>90</v>
      </c>
      <c r="D36" s="6">
        <v>0</v>
      </c>
      <c r="E36" s="6">
        <v>1.5</v>
      </c>
      <c r="F36" s="5" t="s">
        <v>212</v>
      </c>
      <c r="G36" s="5" t="s">
        <v>321</v>
      </c>
      <c r="H36" s="5" t="s">
        <v>174</v>
      </c>
      <c r="I36" s="5" t="s">
        <v>322</v>
      </c>
      <c r="J36" s="5" t="s">
        <v>323</v>
      </c>
      <c r="K36" s="5" t="s">
        <v>324</v>
      </c>
      <c r="L36" s="5" t="s">
        <v>321</v>
      </c>
      <c r="M36" s="5" t="s">
        <v>137</v>
      </c>
      <c r="N36" s="6">
        <v>14.4</v>
      </c>
      <c r="O36" s="5" t="s">
        <v>133</v>
      </c>
      <c r="P36" s="5" t="s">
        <v>325</v>
      </c>
      <c r="Q36" s="5" t="s">
        <v>102</v>
      </c>
      <c r="R36" s="5" t="s">
        <v>102</v>
      </c>
      <c r="S36" s="5" t="s">
        <v>113</v>
      </c>
      <c r="T36" s="5" t="s">
        <v>326</v>
      </c>
      <c r="U36" s="5" t="s">
        <v>241</v>
      </c>
      <c r="V36" s="5" t="s">
        <v>327</v>
      </c>
      <c r="W36" s="5" t="s">
        <v>159</v>
      </c>
      <c r="X36" s="6">
        <v>0.6</v>
      </c>
      <c r="Y36" s="5">
        <v>0.5</v>
      </c>
      <c r="Z36" s="5" t="s">
        <v>323</v>
      </c>
      <c r="AA36" s="5" t="s">
        <v>376</v>
      </c>
      <c r="AB36" s="5" t="s">
        <v>328</v>
      </c>
      <c r="AC36" s="5" t="s">
        <v>329</v>
      </c>
      <c r="AD36" s="5">
        <v>0.1</v>
      </c>
      <c r="AE36" s="5" t="s">
        <v>106</v>
      </c>
      <c r="AF36" s="5" t="s">
        <v>106</v>
      </c>
      <c r="AG36" s="6">
        <v>0</v>
      </c>
      <c r="AH36" s="5" t="s">
        <v>330</v>
      </c>
      <c r="AI36" s="5" t="s">
        <v>147</v>
      </c>
      <c r="AJ36" s="5" t="s">
        <v>106</v>
      </c>
      <c r="AK36" s="11">
        <f>AK50*3/4</f>
        <v>0</v>
      </c>
      <c r="AL36" s="5" t="s">
        <v>106</v>
      </c>
      <c r="AM36" s="5" t="s">
        <v>106</v>
      </c>
      <c r="AN36" s="5" t="s">
        <v>62</v>
      </c>
      <c r="AO36" s="5" t="s">
        <v>62</v>
      </c>
      <c r="AP36" s="5" t="s">
        <v>62</v>
      </c>
      <c r="AQ36" s="5" t="s">
        <v>62</v>
      </c>
      <c r="BN36" s="3" t="str">
        <f t="shared" ref="BN36:BN45" si="100">B36&amp;" = {"</f>
        <v>assault_ship = {</v>
      </c>
      <c r="BO36" s="3" t="str">
        <f t="shared" ref="BO36:BO47" si="101">IF(C36="","",C$35&amp;" = "&amp;C36)</f>
        <v>active = no</v>
      </c>
      <c r="BP36" s="3" t="str">
        <f t="shared" ref="BP36:BP47" si="102">IF(D36="","",D$35&amp;" = "&amp;D36)</f>
        <v>air_attack = 0</v>
      </c>
      <c r="BQ36" s="3" t="str">
        <f t="shared" ref="BQ36:BQ47" si="103">IF(E36="","",E$35&amp;" = "&amp;E36)</f>
        <v>air_defence = 1.5</v>
      </c>
      <c r="BR36" s="3" t="str">
        <f t="shared" ref="BR36:BR47" si="104">IF(F36="","",F$35&amp;" = "&amp;F36)</f>
        <v>build_cost_ic = 8.00</v>
      </c>
      <c r="BS36" s="3" t="str">
        <f t="shared" ref="BS36:BS47" si="105">IF(G36="","",G$35&amp;" = "&amp;G36)</f>
        <v>build_cost_manpower = 1.25</v>
      </c>
      <c r="BT36" s="3" t="str">
        <f t="shared" ref="BT36:BT47" si="106">IF(H36="","",H$35&amp;" = "&amp;H36)</f>
        <v>build_time = 110</v>
      </c>
      <c r="BU36" s="3" t="str">
        <f t="shared" ref="BU36:BU47" si="107">IF(I36="","",I$35&amp;" = "&amp;I36)</f>
        <v>completion_size = 1.0</v>
      </c>
      <c r="BV36" s="3" t="str">
        <f t="shared" ref="BV36:BV47" si="108">IF(J36="","",J$35&amp;" = "&amp;J36)</f>
        <v>default_morale = 0.25</v>
      </c>
      <c r="BW36" s="3" t="str">
        <f t="shared" ref="BW36:BW47" si="109">IF(K36="","",K$35&amp;" = "&amp;K36)</f>
        <v>default_organisation = 22</v>
      </c>
      <c r="BX36" s="3" t="str">
        <f t="shared" ref="BX36:BX47" si="110">IF(L36="","",L$35&amp;" = "&amp;L36)</f>
        <v>fuel_consumption = 1.25</v>
      </c>
      <c r="BY36" s="3" t="str">
        <f t="shared" ref="BY36:BY47" si="111">IF(M36="","",M$35&amp;" = "&amp;M36)</f>
        <v>max_strength = 100</v>
      </c>
      <c r="BZ36" s="3" t="str">
        <f t="shared" ref="BZ36:BZ47" si="112">IF(N36="","",N$35&amp;" = "&amp;N36)</f>
        <v>maximum_speed = 14.4</v>
      </c>
      <c r="CA36" s="3" t="str">
        <f t="shared" ref="CA36:CA47" si="113">IF(O36="","",O$35&amp;" = "&amp;O36)</f>
        <v>officers = 0</v>
      </c>
      <c r="CB36" s="3" t="str">
        <f t="shared" ref="CB36:CB47" si="114">IF(P36="","",P$35&amp;" = "&amp;P36)</f>
        <v>on_completion = transport_practical</v>
      </c>
      <c r="CC36" s="3" t="str">
        <f t="shared" ref="CC36:CC47" si="115">IF(Q36="","",Q$35&amp;" = "&amp;Q36)</f>
        <v>priority = 1</v>
      </c>
      <c r="CD36" s="3" t="str">
        <f t="shared" ref="CD36:CD47" si="116">IF(R36="","",R$35&amp;" = "&amp;R36)</f>
        <v>radio_strength = 1</v>
      </c>
      <c r="CE36" s="3" t="str">
        <f t="shared" ref="CE36:CE47" si="117">IF(S36="","",S$35&amp;" = "&amp;S36)</f>
        <v>repair_cost_multiplier = 0.05</v>
      </c>
      <c r="CF36" s="3" t="str">
        <f t="shared" ref="CF36:CF47" si="118">IF(T36="","",T$35&amp;" = "&amp;T36)</f>
        <v>sprite = LSTLandingcraft</v>
      </c>
      <c r="CG36" s="3" t="str">
        <f t="shared" ref="CG36:CG47" si="119">IF(U36="","",U$35&amp;" = "&amp;U36)</f>
        <v>supply_consumption = 0.30</v>
      </c>
      <c r="CH36" s="3" t="str">
        <f t="shared" ref="CH36:CH47" si="120">IF(V36="","",V$35&amp;" = "&amp;V36)</f>
        <v>type = naval</v>
      </c>
      <c r="CI36" s="3" t="str">
        <f t="shared" ref="CI36:CI47" si="121">IF(W36="","",W$35&amp;" = "&amp;W36)</f>
        <v>transport = yes</v>
      </c>
      <c r="CJ36" s="3" t="str">
        <f t="shared" ref="CJ36:CJ47" si="122">IF(X36="","",X$35&amp;" = "&amp;X36)</f>
        <v>hull = 0.6</v>
      </c>
      <c r="CK36" s="3" t="str">
        <f t="shared" ref="CK36:CK47" si="123">IF(Y36="","",Y$35&amp;" = "&amp;Y36)</f>
        <v>amphibious_invasion_speed = 0.5</v>
      </c>
      <c r="CL36" s="3" t="str">
        <f t="shared" ref="CL36:CL47" si="124">IF(Z36="","",Z$35&amp;" = "&amp;Z36)</f>
        <v>amphibious_invasion_defence = 0.25</v>
      </c>
      <c r="CM36" s="3" t="str">
        <f t="shared" ref="CM36:CM47" si="125">IF(AA36="","",AA$35&amp;" = "&amp;AA36)</f>
        <v>extra_amphibious_defence = {
armor_brigade = 0.25
light_armor_brigade = 0.25
armored_car_brigade = 0.25
}</v>
      </c>
      <c r="CN36" s="3" t="str">
        <f t="shared" ref="CN36:CN47" si="126">IF(AB36="","",AB$35&amp;" = "&amp;AB36)</f>
        <v>transport_capability = 60.00</v>
      </c>
      <c r="CO36" s="3" t="str">
        <f t="shared" ref="CO36:CO47" si="127">IF(AC36="","",AC$35&amp;" = "&amp;AC36)</f>
        <v>range = 3500.00</v>
      </c>
      <c r="CP36" s="3" t="str">
        <f t="shared" ref="CP36:CP47" si="128">IF(AD36="","",AD$35&amp;" = "&amp;AD36)</f>
        <v>distance = 0.1</v>
      </c>
      <c r="CQ36" s="3" t="str">
        <f t="shared" ref="CQ36:CQ47" si="129">IF(AE36="","",AE$35&amp;" = "&amp;AE36)</f>
        <v>surface_detection = 0.00</v>
      </c>
      <c r="CR36" s="3" t="str">
        <f t="shared" ref="CR36:CR47" si="130">IF(AF36="","",AF$35&amp;" = "&amp;AF36)</f>
        <v>air_detection = 0.00</v>
      </c>
      <c r="CS36" s="3" t="str">
        <f t="shared" ref="CS36:CS47" si="131">IF(AG36="","",AG$35&amp;" = "&amp;AG36)</f>
        <v>sub_detection = 0</v>
      </c>
      <c r="CT36" s="3" t="str">
        <f t="shared" ref="CT36:CT47" si="132">IF(AH36="","",AH$35&amp;" = "&amp;AH36)</f>
        <v>visibility = 80.00</v>
      </c>
      <c r="CU36" s="3" t="str">
        <f t="shared" ref="CU36:CU47" si="133">IF(AI36="","",AI$35&amp;" = "&amp;AI36)</f>
        <v>sea_defence = 3.00</v>
      </c>
      <c r="CV36" s="3" t="str">
        <f t="shared" ref="CV36:CV47" si="134">IF(AJ36="","",AJ$35&amp;" = "&amp;AJ36)</f>
        <v>convoy_attack = 0.00</v>
      </c>
      <c r="CW36" s="3" t="str">
        <f t="shared" ref="CW36:CW47" si="135">IF(AK36="","",AK$35&amp;" = "&amp;AK36)</f>
        <v>sea_attack = 0</v>
      </c>
      <c r="CX36" s="3" t="str">
        <f t="shared" ref="CX36:CX47" si="136">IF(AL36="","",AL$35&amp;" = "&amp;AL36)</f>
        <v>sub_attack = 0.00</v>
      </c>
      <c r="CY36" s="3" t="str">
        <f t="shared" ref="CY36:CY47" si="137">IF(AM36="","",AM$35&amp;" = "&amp;AM36)</f>
        <v>shore_bombardment = 0.00</v>
      </c>
      <c r="CZ36" s="3" t="str">
        <f t="shared" ref="CZ36:CZ47" si="138">IF(AN36="","",AN$35&amp;" = "&amp;AN36)</f>
        <v/>
      </c>
      <c r="DA36" s="3" t="str">
        <f t="shared" ref="DA36:DA47" si="139">IF(AO36="","",AO$35&amp;" = "&amp;AO36)</f>
        <v/>
      </c>
      <c r="DB36" s="3" t="str">
        <f t="shared" ref="DB36:DB47" si="140">IF(AP36="","",AP$35&amp;" = "&amp;AP36)</f>
        <v/>
      </c>
      <c r="DC36" s="3" t="str">
        <f t="shared" ref="DC36:DC47" si="141">IF(AQ36="","",AQ$35&amp;" = "&amp;AQ36)</f>
        <v/>
      </c>
      <c r="DD36" s="3" t="s">
        <v>0</v>
      </c>
      <c r="DZ36" s="3" t="str">
        <f t="shared" ref="DZ36:DZ47" si="142">concat_code(BN36:DD36)</f>
        <v xml:space="preserve">assault_ship = {
active = no
air_attack = 0
air_defence = 1.5
build_cost_ic = 8.00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LSTLandingcraft
supply_consumption = 0.30
type = naval
transport = yes
hull = 0.6
amphibious_invasion_speed = 0.5
amphibious_invasion_defence = 0.25
extra_amphibious_defence = {
armor_brigade = 0.25
light_armor_brigade = 0.25
armored_car_brigade = 0.25
}
transport_capability = 60.00
range = 3500.00
distance = 0.1
surface_detection = 0.00
air_detection = 0.00
sub_detection = 0
visibility = 80.00
sea_defence = 3.00
convoy_attack = 0.00
sea_attack = 0
sub_attack = 0.00
shore_bombardment = 0.00
}
</v>
      </c>
    </row>
    <row r="37" spans="1:130" s="3" customFormat="1" x14ac:dyDescent="0.25">
      <c r="A37" s="2" t="str">
        <f t="shared" ca="1" si="99"/>
        <v>C:\Program Files (x86)\Paradox Interactive\Hearts of Iron III\tfh\mod\ww1tfh\units\battlecruiser.txt</v>
      </c>
      <c r="B37" s="3" t="s">
        <v>297</v>
      </c>
      <c r="C37" s="5" t="s">
        <v>90</v>
      </c>
      <c r="D37" s="6">
        <v>0</v>
      </c>
      <c r="E37" s="6">
        <v>2</v>
      </c>
      <c r="F37" s="5">
        <v>5.25</v>
      </c>
      <c r="G37" s="5" t="s">
        <v>135</v>
      </c>
      <c r="H37" s="5">
        <v>384</v>
      </c>
      <c r="I37" s="5">
        <v>1.8</v>
      </c>
      <c r="J37" s="5" t="s">
        <v>241</v>
      </c>
      <c r="K37" s="5" t="s">
        <v>264</v>
      </c>
      <c r="L37" s="5" t="s">
        <v>331</v>
      </c>
      <c r="M37" s="5" t="s">
        <v>137</v>
      </c>
      <c r="N37" s="6">
        <v>17</v>
      </c>
      <c r="O37" s="5" t="s">
        <v>133</v>
      </c>
      <c r="P37" s="5" t="s">
        <v>332</v>
      </c>
      <c r="Q37" s="5" t="s">
        <v>197</v>
      </c>
      <c r="R37" s="5" t="s">
        <v>102</v>
      </c>
      <c r="S37" s="5" t="s">
        <v>113</v>
      </c>
      <c r="T37" s="5" t="s">
        <v>333</v>
      </c>
      <c r="U37" s="5" t="s">
        <v>334</v>
      </c>
      <c r="V37" s="5" t="s">
        <v>327</v>
      </c>
      <c r="W37" s="5" t="s">
        <v>62</v>
      </c>
      <c r="X37" s="6">
        <v>0.78</v>
      </c>
      <c r="Y37" s="5" t="s">
        <v>62</v>
      </c>
      <c r="Z37" s="5" t="s">
        <v>62</v>
      </c>
      <c r="AA37" s="5" t="s">
        <v>62</v>
      </c>
      <c r="AB37" s="5" t="s">
        <v>106</v>
      </c>
      <c r="AC37" s="5" t="s">
        <v>335</v>
      </c>
      <c r="AD37" s="5">
        <v>0.18</v>
      </c>
      <c r="AE37" s="5" t="s">
        <v>115</v>
      </c>
      <c r="AF37" s="5" t="s">
        <v>115</v>
      </c>
      <c r="AG37" s="6">
        <v>0</v>
      </c>
      <c r="AH37" s="5" t="s">
        <v>330</v>
      </c>
      <c r="AI37" s="5" t="s">
        <v>129</v>
      </c>
      <c r="AJ37" s="5" t="s">
        <v>277</v>
      </c>
      <c r="AK37" s="11">
        <f t="shared" ref="AK37:AK47" si="143">AK51*3/4</f>
        <v>9</v>
      </c>
      <c r="AL37" s="5" t="s">
        <v>106</v>
      </c>
      <c r="AM37" s="5" t="s">
        <v>337</v>
      </c>
      <c r="AN37" s="5" t="s">
        <v>159</v>
      </c>
      <c r="AO37" s="5" t="s">
        <v>159</v>
      </c>
      <c r="AP37" s="5" t="s">
        <v>62</v>
      </c>
      <c r="AQ37" s="5" t="s">
        <v>62</v>
      </c>
      <c r="BN37" s="3" t="str">
        <f t="shared" si="100"/>
        <v>battlecruiser = {</v>
      </c>
      <c r="BO37" s="3" t="str">
        <f t="shared" si="101"/>
        <v>active = no</v>
      </c>
      <c r="BP37" s="3" t="str">
        <f t="shared" si="102"/>
        <v>air_attack = 0</v>
      </c>
      <c r="BQ37" s="3" t="str">
        <f t="shared" si="103"/>
        <v>air_defence = 2</v>
      </c>
      <c r="BR37" s="3" t="str">
        <f t="shared" si="104"/>
        <v>build_cost_ic = 5.25</v>
      </c>
      <c r="BS37" s="3" t="str">
        <f t="shared" si="105"/>
        <v>build_cost_manpower = 2.00</v>
      </c>
      <c r="BT37" s="3" t="str">
        <f t="shared" si="106"/>
        <v>build_time = 384</v>
      </c>
      <c r="BU37" s="3" t="str">
        <f t="shared" si="107"/>
        <v>completion_size = 1.8</v>
      </c>
      <c r="BV37" s="3" t="str">
        <f t="shared" si="108"/>
        <v>default_morale = 0.30</v>
      </c>
      <c r="BW37" s="3" t="str">
        <f t="shared" si="109"/>
        <v>default_organisation = 30</v>
      </c>
      <c r="BX37" s="3" t="str">
        <f t="shared" si="110"/>
        <v>fuel_consumption = 0.92</v>
      </c>
      <c r="BY37" s="3" t="str">
        <f t="shared" si="111"/>
        <v>max_strength = 100</v>
      </c>
      <c r="BZ37" s="3" t="str">
        <f t="shared" si="112"/>
        <v>maximum_speed = 17</v>
      </c>
      <c r="CA37" s="3" t="str">
        <f t="shared" si="113"/>
        <v>officers = 0</v>
      </c>
      <c r="CB37" s="3" t="str">
        <f t="shared" si="114"/>
        <v>on_completion = capitalship_practical</v>
      </c>
      <c r="CC37" s="3" t="str">
        <f t="shared" si="115"/>
        <v>priority = 8</v>
      </c>
      <c r="CD37" s="3" t="str">
        <f t="shared" si="116"/>
        <v>radio_strength = 1</v>
      </c>
      <c r="CE37" s="3" t="str">
        <f t="shared" si="117"/>
        <v>repair_cost_multiplier = 0.05</v>
      </c>
      <c r="CF37" s="3" t="str">
        <f t="shared" si="118"/>
        <v>sprite = Battlecruiser</v>
      </c>
      <c r="CG37" s="3" t="str">
        <f t="shared" si="119"/>
        <v>supply_consumption = 0.50</v>
      </c>
      <c r="CH37" s="3" t="str">
        <f t="shared" si="120"/>
        <v>type = naval</v>
      </c>
      <c r="CI37" s="3" t="str">
        <f t="shared" si="121"/>
        <v/>
      </c>
      <c r="CJ37" s="3" t="str">
        <f t="shared" si="122"/>
        <v>hull = 0.78</v>
      </c>
      <c r="CK37" s="3" t="str">
        <f t="shared" si="123"/>
        <v/>
      </c>
      <c r="CL37" s="3" t="str">
        <f t="shared" si="124"/>
        <v/>
      </c>
      <c r="CM37" s="3" t="str">
        <f t="shared" si="125"/>
        <v/>
      </c>
      <c r="CN37" s="3" t="str">
        <f t="shared" si="126"/>
        <v>transport_capability = 0.00</v>
      </c>
      <c r="CO37" s="3" t="str">
        <f t="shared" si="127"/>
        <v>range = 2500.00</v>
      </c>
      <c r="CP37" s="3" t="str">
        <f t="shared" si="128"/>
        <v>distance = 0.18</v>
      </c>
      <c r="CQ37" s="3" t="str">
        <f t="shared" si="129"/>
        <v>surface_detection = 1.00</v>
      </c>
      <c r="CR37" s="3" t="str">
        <f t="shared" si="130"/>
        <v>air_detection = 1.00</v>
      </c>
      <c r="CS37" s="3" t="str">
        <f t="shared" si="131"/>
        <v>sub_detection = 0</v>
      </c>
      <c r="CT37" s="3" t="str">
        <f t="shared" si="132"/>
        <v>visibility = 80.00</v>
      </c>
      <c r="CU37" s="3" t="str">
        <f t="shared" si="133"/>
        <v>sea_defence = 5.00</v>
      </c>
      <c r="CV37" s="3" t="str">
        <f t="shared" si="134"/>
        <v>convoy_attack = 14.00</v>
      </c>
      <c r="CW37" s="3" t="str">
        <f t="shared" si="135"/>
        <v>sea_attack = 9</v>
      </c>
      <c r="CX37" s="3" t="str">
        <f t="shared" si="136"/>
        <v>sub_attack = 0.00</v>
      </c>
      <c r="CY37" s="3" t="str">
        <f t="shared" si="137"/>
        <v>shore_bombardment = 7.00</v>
      </c>
      <c r="CZ37" s="3" t="str">
        <f t="shared" si="138"/>
        <v>capital = yes</v>
      </c>
      <c r="DA37" s="3" t="str">
        <f t="shared" si="139"/>
        <v>can_be_pride = yes</v>
      </c>
      <c r="DB37" s="3" t="str">
        <f t="shared" si="140"/>
        <v/>
      </c>
      <c r="DC37" s="3" t="str">
        <f t="shared" si="141"/>
        <v/>
      </c>
      <c r="DD37" s="3" t="s">
        <v>0</v>
      </c>
      <c r="DZ37" s="3" t="str">
        <f t="shared" si="142"/>
        <v xml:space="preserve">battlecruiser = {
active = no
air_attack = 0
air_defence = 2
build_cost_ic = 5.25
build_cost_manpower = 2.00
build_time = 384
completion_size = 1.8
default_morale = 0.30
default_organisation = 30
fuel_consumption = 0.92
max_strength = 100
maximum_speed = 17
officers = 0
on_completion = capitalship_practical
priority = 8
radio_strength = 1
repair_cost_multiplier = 0.05
sprite = Battlecruiser
supply_consumption = 0.50
type = naval
hull = 0.78
transport_capability = 0.00
range = 2500.00
distance = 0.18
surface_detection = 1.00
air_detection = 1.00
sub_detection = 0
visibility = 80.00
sea_defence = 5.00
convoy_attack = 14.00
sea_attack = 9
sub_attack = 0.00
shore_bombardment = 7.00
capital = yes
can_be_pride = yes
}
</v>
      </c>
    </row>
    <row r="38" spans="1:130" s="3" customFormat="1" x14ac:dyDescent="0.25">
      <c r="A38" s="2" t="str">
        <f t="shared" ca="1" si="99"/>
        <v>C:\Program Files (x86)\Paradox Interactive\Hearts of Iron III\tfh\mod\ww1tfh\units\battleship.txt</v>
      </c>
      <c r="B38" s="3" t="s">
        <v>298</v>
      </c>
      <c r="C38" s="5" t="s">
        <v>90</v>
      </c>
      <c r="D38" s="6">
        <v>0</v>
      </c>
      <c r="E38" s="6">
        <v>2</v>
      </c>
      <c r="F38" s="5">
        <v>5.25</v>
      </c>
      <c r="G38" s="5" t="s">
        <v>101</v>
      </c>
      <c r="H38" s="5">
        <v>468</v>
      </c>
      <c r="I38" s="5">
        <v>1.8</v>
      </c>
      <c r="J38" s="5" t="s">
        <v>241</v>
      </c>
      <c r="K38" s="5" t="s">
        <v>264</v>
      </c>
      <c r="L38" s="5" t="s">
        <v>338</v>
      </c>
      <c r="M38" s="5" t="s">
        <v>137</v>
      </c>
      <c r="N38" s="6">
        <v>14.4</v>
      </c>
      <c r="O38" s="5" t="s">
        <v>133</v>
      </c>
      <c r="P38" s="5" t="s">
        <v>332</v>
      </c>
      <c r="Q38" s="5" t="s">
        <v>112</v>
      </c>
      <c r="R38" s="5" t="s">
        <v>102</v>
      </c>
      <c r="S38" s="5" t="s">
        <v>113</v>
      </c>
      <c r="T38" s="5" t="s">
        <v>339</v>
      </c>
      <c r="U38" s="5" t="s">
        <v>141</v>
      </c>
      <c r="V38" s="5" t="s">
        <v>327</v>
      </c>
      <c r="W38" s="5" t="s">
        <v>62</v>
      </c>
      <c r="X38" s="6">
        <v>0.9</v>
      </c>
      <c r="Y38" s="5" t="s">
        <v>62</v>
      </c>
      <c r="Z38" s="5" t="s">
        <v>62</v>
      </c>
      <c r="AA38" s="5" t="s">
        <v>62</v>
      </c>
      <c r="AB38" s="5" t="s">
        <v>106</v>
      </c>
      <c r="AC38" s="5" t="s">
        <v>335</v>
      </c>
      <c r="AD38" s="5">
        <v>0.16</v>
      </c>
      <c r="AE38" s="5" t="s">
        <v>115</v>
      </c>
      <c r="AF38" s="5" t="s">
        <v>115</v>
      </c>
      <c r="AG38" s="6">
        <v>0</v>
      </c>
      <c r="AH38" s="5" t="s">
        <v>340</v>
      </c>
      <c r="AI38" s="5" t="s">
        <v>147</v>
      </c>
      <c r="AJ38" s="5" t="s">
        <v>336</v>
      </c>
      <c r="AK38" s="11">
        <f t="shared" si="143"/>
        <v>11.25</v>
      </c>
      <c r="AL38" s="5" t="s">
        <v>106</v>
      </c>
      <c r="AM38" s="5">
        <v>9</v>
      </c>
      <c r="AN38" s="5" t="s">
        <v>159</v>
      </c>
      <c r="AO38" s="5" t="s">
        <v>159</v>
      </c>
      <c r="AP38" s="5" t="s">
        <v>62</v>
      </c>
      <c r="AQ38" s="5" t="s">
        <v>62</v>
      </c>
      <c r="BN38" s="3" t="str">
        <f t="shared" si="100"/>
        <v>battleship = {</v>
      </c>
      <c r="BO38" s="3" t="str">
        <f t="shared" si="101"/>
        <v>active = no</v>
      </c>
      <c r="BP38" s="3" t="str">
        <f t="shared" si="102"/>
        <v>air_attack = 0</v>
      </c>
      <c r="BQ38" s="3" t="str">
        <f t="shared" si="103"/>
        <v>air_defence = 2</v>
      </c>
      <c r="BR38" s="3" t="str">
        <f t="shared" si="104"/>
        <v>build_cost_ic = 5.25</v>
      </c>
      <c r="BS38" s="3" t="str">
        <f t="shared" si="105"/>
        <v>build_cost_manpower = 2.50</v>
      </c>
      <c r="BT38" s="3" t="str">
        <f t="shared" si="106"/>
        <v>build_time = 468</v>
      </c>
      <c r="BU38" s="3" t="str">
        <f t="shared" si="107"/>
        <v>completion_size = 1.8</v>
      </c>
      <c r="BV38" s="3" t="str">
        <f t="shared" si="108"/>
        <v>default_morale = 0.30</v>
      </c>
      <c r="BW38" s="3" t="str">
        <f t="shared" si="109"/>
        <v>default_organisation = 30</v>
      </c>
      <c r="BX38" s="3" t="str">
        <f t="shared" si="110"/>
        <v>fuel_consumption = 1.15</v>
      </c>
      <c r="BY38" s="3" t="str">
        <f t="shared" si="111"/>
        <v>max_strength = 100</v>
      </c>
      <c r="BZ38" s="3" t="str">
        <f t="shared" si="112"/>
        <v>maximum_speed = 14.4</v>
      </c>
      <c r="CA38" s="3" t="str">
        <f t="shared" si="113"/>
        <v>officers = 0</v>
      </c>
      <c r="CB38" s="3" t="str">
        <f t="shared" si="114"/>
        <v>on_completion = capitalship_practical</v>
      </c>
      <c r="CC38" s="3" t="str">
        <f t="shared" si="115"/>
        <v>priority = 9</v>
      </c>
      <c r="CD38" s="3" t="str">
        <f t="shared" si="116"/>
        <v>radio_strength = 1</v>
      </c>
      <c r="CE38" s="3" t="str">
        <f t="shared" si="117"/>
        <v>repair_cost_multiplier = 0.05</v>
      </c>
      <c r="CF38" s="3" t="str">
        <f t="shared" si="118"/>
        <v>sprite = Battleship</v>
      </c>
      <c r="CG38" s="3" t="str">
        <f t="shared" si="119"/>
        <v>supply_consumption = 0.70</v>
      </c>
      <c r="CH38" s="3" t="str">
        <f t="shared" si="120"/>
        <v>type = naval</v>
      </c>
      <c r="CI38" s="3" t="str">
        <f t="shared" si="121"/>
        <v/>
      </c>
      <c r="CJ38" s="3" t="str">
        <f t="shared" si="122"/>
        <v>hull = 0.9</v>
      </c>
      <c r="CK38" s="3" t="str">
        <f t="shared" si="123"/>
        <v/>
      </c>
      <c r="CL38" s="3" t="str">
        <f t="shared" si="124"/>
        <v/>
      </c>
      <c r="CM38" s="3" t="str">
        <f t="shared" si="125"/>
        <v/>
      </c>
      <c r="CN38" s="3" t="str">
        <f t="shared" si="126"/>
        <v>transport_capability = 0.00</v>
      </c>
      <c r="CO38" s="3" t="str">
        <f t="shared" si="127"/>
        <v>range = 2500.00</v>
      </c>
      <c r="CP38" s="3" t="str">
        <f t="shared" si="128"/>
        <v>distance = 0.16</v>
      </c>
      <c r="CQ38" s="3" t="str">
        <f t="shared" si="129"/>
        <v>surface_detection = 1.00</v>
      </c>
      <c r="CR38" s="3" t="str">
        <f t="shared" si="130"/>
        <v>air_detection = 1.00</v>
      </c>
      <c r="CS38" s="3" t="str">
        <f t="shared" si="131"/>
        <v>sub_detection = 0</v>
      </c>
      <c r="CT38" s="3" t="str">
        <f t="shared" si="132"/>
        <v>visibility = 90.00</v>
      </c>
      <c r="CU38" s="3" t="str">
        <f t="shared" si="133"/>
        <v>sea_defence = 3.00</v>
      </c>
      <c r="CV38" s="3" t="str">
        <f t="shared" si="134"/>
        <v>convoy_attack = 12.00</v>
      </c>
      <c r="CW38" s="3" t="str">
        <f t="shared" si="135"/>
        <v>sea_attack = 11.25</v>
      </c>
      <c r="CX38" s="3" t="str">
        <f t="shared" si="136"/>
        <v>sub_attack = 0.00</v>
      </c>
      <c r="CY38" s="3" t="str">
        <f t="shared" si="137"/>
        <v>shore_bombardment = 9</v>
      </c>
      <c r="CZ38" s="3" t="str">
        <f t="shared" si="138"/>
        <v>capital = yes</v>
      </c>
      <c r="DA38" s="3" t="str">
        <f t="shared" si="139"/>
        <v>can_be_pride = yes</v>
      </c>
      <c r="DB38" s="3" t="str">
        <f t="shared" si="140"/>
        <v/>
      </c>
      <c r="DC38" s="3" t="str">
        <f t="shared" si="141"/>
        <v/>
      </c>
      <c r="DD38" s="3" t="s">
        <v>0</v>
      </c>
      <c r="DZ38" s="3" t="str">
        <f t="shared" si="142"/>
        <v xml:space="preserve">battleship = {
active = no
air_attack = 0
air_defence = 2
build_cost_ic = 5.25
build_cost_manpower = 2.50
build_time = 468
completion_size = 1.8
default_morale = 0.30
default_organisation = 30
fuel_consumption = 1.15
max_strength = 100
maximum_speed = 14.4
officers = 0
on_completion = capitalship_practical
priority = 9
radio_strength = 1
repair_cost_multiplier = 0.05
sprite = Battleship
supply_consumption = 0.70
type = naval
hull = 0.9
transport_capability = 0.00
range = 2500.00
distance = 0.16
surface_detection = 1.00
air_detection = 1.00
sub_detection = 0
visibility = 90.00
sea_defence = 3.00
convoy_attack = 12.00
sea_attack = 11.25
sub_attack = 0.00
shore_bombardment = 9
capital = yes
can_be_pride = yes
}
</v>
      </c>
    </row>
    <row r="39" spans="1:130" s="3" customFormat="1" x14ac:dyDescent="0.25">
      <c r="A39" s="2" t="str">
        <f t="shared" ca="1" si="99"/>
        <v>C:\Program Files (x86)\Paradox Interactive\Hearts of Iron III\tfh\mod\ww1tfh\units\carrier.txt</v>
      </c>
      <c r="B39" s="3" t="s">
        <v>299</v>
      </c>
      <c r="C39" s="5" t="s">
        <v>90</v>
      </c>
      <c r="D39" s="6">
        <v>0</v>
      </c>
      <c r="E39" s="6">
        <v>1.5</v>
      </c>
      <c r="F39" s="5" t="s">
        <v>341</v>
      </c>
      <c r="G39" s="5" t="s">
        <v>101</v>
      </c>
      <c r="H39" s="5" t="s">
        <v>342</v>
      </c>
      <c r="I39" s="5" t="s">
        <v>343</v>
      </c>
      <c r="J39" s="5" t="s">
        <v>241</v>
      </c>
      <c r="K39" s="5" t="s">
        <v>264</v>
      </c>
      <c r="L39" s="5" t="s">
        <v>338</v>
      </c>
      <c r="M39" s="5" t="s">
        <v>137</v>
      </c>
      <c r="N39" s="6">
        <v>16</v>
      </c>
      <c r="O39" s="5" t="s">
        <v>133</v>
      </c>
      <c r="P39" s="5" t="s">
        <v>344</v>
      </c>
      <c r="Q39" s="5">
        <v>11</v>
      </c>
      <c r="R39" s="5" t="s">
        <v>321</v>
      </c>
      <c r="S39" s="5" t="s">
        <v>113</v>
      </c>
      <c r="T39" s="5" t="s">
        <v>345</v>
      </c>
      <c r="U39" s="5" t="s">
        <v>115</v>
      </c>
      <c r="V39" s="5" t="s">
        <v>327</v>
      </c>
      <c r="W39" s="5" t="s">
        <v>62</v>
      </c>
      <c r="X39" s="6">
        <v>0.6</v>
      </c>
      <c r="Y39" s="5" t="s">
        <v>62</v>
      </c>
      <c r="Z39" s="5" t="s">
        <v>62</v>
      </c>
      <c r="AA39" s="5" t="s">
        <v>62</v>
      </c>
      <c r="AB39" s="5" t="s">
        <v>106</v>
      </c>
      <c r="AC39" s="5" t="s">
        <v>335</v>
      </c>
      <c r="AD39" s="5">
        <v>1</v>
      </c>
      <c r="AE39" s="5" t="s">
        <v>115</v>
      </c>
      <c r="AF39" s="5" t="s">
        <v>135</v>
      </c>
      <c r="AG39" s="6">
        <v>0</v>
      </c>
      <c r="AH39" s="5" t="s">
        <v>346</v>
      </c>
      <c r="AI39" s="5" t="s">
        <v>147</v>
      </c>
      <c r="AJ39" s="5" t="s">
        <v>106</v>
      </c>
      <c r="AK39" s="11">
        <f t="shared" si="143"/>
        <v>0</v>
      </c>
      <c r="AL39" s="5" t="s">
        <v>106</v>
      </c>
      <c r="AM39" s="5" t="s">
        <v>106</v>
      </c>
      <c r="AN39" s="5" t="s">
        <v>159</v>
      </c>
      <c r="AO39" s="5" t="s">
        <v>62</v>
      </c>
      <c r="AP39" s="5">
        <v>3</v>
      </c>
      <c r="AQ39" s="5" t="s">
        <v>62</v>
      </c>
      <c r="BN39" s="3" t="str">
        <f t="shared" si="100"/>
        <v>carrier = {</v>
      </c>
      <c r="BO39" s="3" t="str">
        <f t="shared" si="101"/>
        <v>active = no</v>
      </c>
      <c r="BP39" s="3" t="str">
        <f t="shared" si="102"/>
        <v>air_attack = 0</v>
      </c>
      <c r="BQ39" s="3" t="str">
        <f t="shared" si="103"/>
        <v>air_defence = 1.5</v>
      </c>
      <c r="BR39" s="3" t="str">
        <f t="shared" si="104"/>
        <v>build_cost_ic = 7.50</v>
      </c>
      <c r="BS39" s="3" t="str">
        <f t="shared" si="105"/>
        <v>build_cost_manpower = 2.50</v>
      </c>
      <c r="BT39" s="3" t="str">
        <f t="shared" si="106"/>
        <v>build_time = 500</v>
      </c>
      <c r="BU39" s="3" t="str">
        <f t="shared" si="107"/>
        <v>completion_size = 3.4</v>
      </c>
      <c r="BV39" s="3" t="str">
        <f t="shared" si="108"/>
        <v>default_morale = 0.30</v>
      </c>
      <c r="BW39" s="3" t="str">
        <f t="shared" si="109"/>
        <v>default_organisation = 30</v>
      </c>
      <c r="BX39" s="3" t="str">
        <f t="shared" si="110"/>
        <v>fuel_consumption = 1.15</v>
      </c>
      <c r="BY39" s="3" t="str">
        <f t="shared" si="111"/>
        <v>max_strength = 100</v>
      </c>
      <c r="BZ39" s="3" t="str">
        <f t="shared" si="112"/>
        <v>maximum_speed = 16</v>
      </c>
      <c r="CA39" s="3" t="str">
        <f t="shared" si="113"/>
        <v>officers = 0</v>
      </c>
      <c r="CB39" s="3" t="str">
        <f t="shared" si="114"/>
        <v>on_completion = carrier_practical</v>
      </c>
      <c r="CC39" s="3" t="str">
        <f t="shared" si="115"/>
        <v>priority = 11</v>
      </c>
      <c r="CD39" s="3" t="str">
        <f t="shared" si="116"/>
        <v>radio_strength = 1.25</v>
      </c>
      <c r="CE39" s="3" t="str">
        <f t="shared" si="117"/>
        <v>repair_cost_multiplier = 0.05</v>
      </c>
      <c r="CF39" s="3" t="str">
        <f t="shared" si="118"/>
        <v>sprite = Carrier</v>
      </c>
      <c r="CG39" s="3" t="str">
        <f t="shared" si="119"/>
        <v>supply_consumption = 1.00</v>
      </c>
      <c r="CH39" s="3" t="str">
        <f t="shared" si="120"/>
        <v>type = naval</v>
      </c>
      <c r="CI39" s="3" t="str">
        <f t="shared" si="121"/>
        <v/>
      </c>
      <c r="CJ39" s="3" t="str">
        <f t="shared" si="122"/>
        <v>hull = 0.6</v>
      </c>
      <c r="CK39" s="3" t="str">
        <f t="shared" si="123"/>
        <v/>
      </c>
      <c r="CL39" s="3" t="str">
        <f t="shared" si="124"/>
        <v/>
      </c>
      <c r="CM39" s="3" t="str">
        <f t="shared" si="125"/>
        <v/>
      </c>
      <c r="CN39" s="3" t="str">
        <f t="shared" si="126"/>
        <v>transport_capability = 0.00</v>
      </c>
      <c r="CO39" s="3" t="str">
        <f t="shared" si="127"/>
        <v>range = 2500.00</v>
      </c>
      <c r="CP39" s="3" t="str">
        <f t="shared" si="128"/>
        <v>distance = 1</v>
      </c>
      <c r="CQ39" s="3" t="str">
        <f t="shared" si="129"/>
        <v>surface_detection = 1.00</v>
      </c>
      <c r="CR39" s="3" t="str">
        <f t="shared" si="130"/>
        <v>air_detection = 2.00</v>
      </c>
      <c r="CS39" s="3" t="str">
        <f t="shared" si="131"/>
        <v>sub_detection = 0</v>
      </c>
      <c r="CT39" s="3" t="str">
        <f t="shared" si="132"/>
        <v>visibility = 100.00</v>
      </c>
      <c r="CU39" s="3" t="str">
        <f t="shared" si="133"/>
        <v>sea_defence = 3.00</v>
      </c>
      <c r="CV39" s="3" t="str">
        <f t="shared" si="134"/>
        <v>convoy_attack = 0.00</v>
      </c>
      <c r="CW39" s="3" t="str">
        <f t="shared" si="135"/>
        <v>sea_attack = 0</v>
      </c>
      <c r="CX39" s="3" t="str">
        <f t="shared" si="136"/>
        <v>sub_attack = 0.00</v>
      </c>
      <c r="CY39" s="3" t="str">
        <f t="shared" si="137"/>
        <v>shore_bombardment = 0.00</v>
      </c>
      <c r="CZ39" s="3" t="str">
        <f t="shared" si="138"/>
        <v>capital = yes</v>
      </c>
      <c r="DA39" s="3" t="str">
        <f t="shared" si="139"/>
        <v/>
      </c>
      <c r="DB39" s="3" t="str">
        <f t="shared" si="140"/>
        <v>carrier_size = 3</v>
      </c>
      <c r="DC39" s="3" t="str">
        <f t="shared" si="141"/>
        <v/>
      </c>
      <c r="DD39" s="3" t="s">
        <v>0</v>
      </c>
      <c r="DZ39" s="3" t="str">
        <f t="shared" si="142"/>
        <v xml:space="preserve">carrier = {
active = no
air_attack = 0
air_defence = 1.5
build_cost_ic = 7.50
build_cost_manpower = 2.50
build_time = 500
completion_size = 3.4
default_morale = 0.30
default_organisation = 30
fuel_consumption = 1.15
max_strength = 100
maximum_speed = 16
officers = 0
on_completion = carrier_practical
priority = 11
radio_strength = 1.25
repair_cost_multiplier = 0.05
sprite = Carrier
supply_consumption = 1.00
type = naval
hull = 0.6
transport_capability = 0.00
range = 2500.00
distance = 1
surface_detection = 1.00
air_detection = 2.00
sub_detection = 0
visibility = 100.00
sea_defence = 3.00
convoy_attack = 0.00
sea_attack = 0
sub_attack = 0.00
shore_bombardment = 0.00
capital = yes
carrier_size = 3
}
</v>
      </c>
    </row>
    <row r="40" spans="1:130" s="3" customFormat="1" x14ac:dyDescent="0.25">
      <c r="A40" s="2" t="str">
        <f t="shared" ca="1" si="99"/>
        <v>C:\Program Files (x86)\Paradox Interactive\Hearts of Iron III\tfh\mod\ww1tfh\units\destroyer.txt</v>
      </c>
      <c r="B40" s="3" t="s">
        <v>300</v>
      </c>
      <c r="C40" s="5" t="s">
        <v>90</v>
      </c>
      <c r="D40" s="6">
        <v>1</v>
      </c>
      <c r="E40" s="6">
        <v>1.5</v>
      </c>
      <c r="F40" s="5">
        <v>3.15</v>
      </c>
      <c r="G40" s="5" t="s">
        <v>115</v>
      </c>
      <c r="H40" s="5">
        <v>160</v>
      </c>
      <c r="I40" s="5">
        <v>0.4</v>
      </c>
      <c r="J40" s="5" t="s">
        <v>241</v>
      </c>
      <c r="K40" s="5" t="s">
        <v>264</v>
      </c>
      <c r="L40" s="5" t="s">
        <v>348</v>
      </c>
      <c r="M40" s="5" t="s">
        <v>137</v>
      </c>
      <c r="N40" s="6">
        <v>20</v>
      </c>
      <c r="O40" s="5" t="s">
        <v>133</v>
      </c>
      <c r="P40" s="5" t="s">
        <v>349</v>
      </c>
      <c r="Q40" s="5" t="s">
        <v>179</v>
      </c>
      <c r="R40" s="5" t="s">
        <v>102</v>
      </c>
      <c r="S40" s="5" t="s">
        <v>113</v>
      </c>
      <c r="T40" s="5" t="s">
        <v>350</v>
      </c>
      <c r="U40" s="5" t="s">
        <v>323</v>
      </c>
      <c r="V40" s="5" t="s">
        <v>327</v>
      </c>
      <c r="W40" s="5" t="s">
        <v>62</v>
      </c>
      <c r="X40" s="6">
        <v>0.6</v>
      </c>
      <c r="Y40" s="5" t="s">
        <v>62</v>
      </c>
      <c r="Z40" s="5" t="s">
        <v>62</v>
      </c>
      <c r="AA40" s="5" t="s">
        <v>62</v>
      </c>
      <c r="AB40" s="5" t="s">
        <v>106</v>
      </c>
      <c r="AC40" s="5" t="s">
        <v>351</v>
      </c>
      <c r="AD40" s="5">
        <v>0.06</v>
      </c>
      <c r="AE40" s="5" t="s">
        <v>147</v>
      </c>
      <c r="AF40" s="5" t="s">
        <v>135</v>
      </c>
      <c r="AG40" s="6">
        <v>3</v>
      </c>
      <c r="AH40" s="5" t="s">
        <v>352</v>
      </c>
      <c r="AI40" s="5" t="s">
        <v>242</v>
      </c>
      <c r="AJ40" s="5" t="s">
        <v>135</v>
      </c>
      <c r="AK40" s="11">
        <f t="shared" si="143"/>
        <v>2.25</v>
      </c>
      <c r="AL40" s="6">
        <v>3</v>
      </c>
      <c r="AM40" s="5" t="s">
        <v>106</v>
      </c>
      <c r="AN40" s="5" t="s">
        <v>62</v>
      </c>
      <c r="AO40" s="5" t="s">
        <v>62</v>
      </c>
      <c r="AP40" s="5" t="s">
        <v>62</v>
      </c>
      <c r="AQ40" s="5" t="s">
        <v>62</v>
      </c>
      <c r="BN40" s="3" t="str">
        <f t="shared" si="100"/>
        <v>destroyer = {</v>
      </c>
      <c r="BO40" s="3" t="str">
        <f t="shared" si="101"/>
        <v>active = no</v>
      </c>
      <c r="BP40" s="3" t="str">
        <f t="shared" si="102"/>
        <v>air_attack = 1</v>
      </c>
      <c r="BQ40" s="3" t="str">
        <f t="shared" si="103"/>
        <v>air_defence = 1.5</v>
      </c>
      <c r="BR40" s="3" t="str">
        <f t="shared" si="104"/>
        <v>build_cost_ic = 3.15</v>
      </c>
      <c r="BS40" s="3" t="str">
        <f t="shared" si="105"/>
        <v>build_cost_manpower = 1.00</v>
      </c>
      <c r="BT40" s="3" t="str">
        <f t="shared" si="106"/>
        <v>build_time = 160</v>
      </c>
      <c r="BU40" s="3" t="str">
        <f t="shared" si="107"/>
        <v>completion_size = 0.4</v>
      </c>
      <c r="BV40" s="3" t="str">
        <f t="shared" si="108"/>
        <v>default_morale = 0.30</v>
      </c>
      <c r="BW40" s="3" t="str">
        <f t="shared" si="109"/>
        <v>default_organisation = 30</v>
      </c>
      <c r="BX40" s="3" t="str">
        <f t="shared" si="110"/>
        <v>fuel_consumption = 0.28</v>
      </c>
      <c r="BY40" s="3" t="str">
        <f t="shared" si="111"/>
        <v>max_strength = 100</v>
      </c>
      <c r="BZ40" s="3" t="str">
        <f t="shared" si="112"/>
        <v>maximum_speed = 20</v>
      </c>
      <c r="CA40" s="3" t="str">
        <f t="shared" si="113"/>
        <v>officers = 0</v>
      </c>
      <c r="CB40" s="3" t="str">
        <f t="shared" si="114"/>
        <v>on_completion = destroyer_practical</v>
      </c>
      <c r="CC40" s="3" t="str">
        <f t="shared" si="115"/>
        <v>priority = 4</v>
      </c>
      <c r="CD40" s="3" t="str">
        <f t="shared" si="116"/>
        <v>radio_strength = 1</v>
      </c>
      <c r="CE40" s="3" t="str">
        <f t="shared" si="117"/>
        <v>repair_cost_multiplier = 0.05</v>
      </c>
      <c r="CF40" s="3" t="str">
        <f t="shared" si="118"/>
        <v>sprite = Destroyer</v>
      </c>
      <c r="CG40" s="3" t="str">
        <f t="shared" si="119"/>
        <v>supply_consumption = 0.25</v>
      </c>
      <c r="CH40" s="3" t="str">
        <f t="shared" si="120"/>
        <v>type = naval</v>
      </c>
      <c r="CI40" s="3" t="str">
        <f t="shared" si="121"/>
        <v/>
      </c>
      <c r="CJ40" s="3" t="str">
        <f t="shared" si="122"/>
        <v>hull = 0.6</v>
      </c>
      <c r="CK40" s="3" t="str">
        <f t="shared" si="123"/>
        <v/>
      </c>
      <c r="CL40" s="3" t="str">
        <f t="shared" si="124"/>
        <v/>
      </c>
      <c r="CM40" s="3" t="str">
        <f t="shared" si="125"/>
        <v/>
      </c>
      <c r="CN40" s="3" t="str">
        <f t="shared" si="126"/>
        <v>transport_capability = 0.00</v>
      </c>
      <c r="CO40" s="3" t="str">
        <f t="shared" si="127"/>
        <v>range = 1500.00</v>
      </c>
      <c r="CP40" s="3" t="str">
        <f t="shared" si="128"/>
        <v>distance = 0.06</v>
      </c>
      <c r="CQ40" s="3" t="str">
        <f t="shared" si="129"/>
        <v>surface_detection = 3.00</v>
      </c>
      <c r="CR40" s="3" t="str">
        <f t="shared" si="130"/>
        <v>air_detection = 2.00</v>
      </c>
      <c r="CS40" s="3" t="str">
        <f t="shared" si="131"/>
        <v>sub_detection = 3</v>
      </c>
      <c r="CT40" s="3" t="str">
        <f t="shared" si="132"/>
        <v>visibility = 50.00</v>
      </c>
      <c r="CU40" s="3" t="str">
        <f t="shared" si="133"/>
        <v>sea_defence = 15.00</v>
      </c>
      <c r="CV40" s="3" t="str">
        <f t="shared" si="134"/>
        <v>convoy_attack = 2.00</v>
      </c>
      <c r="CW40" s="3" t="str">
        <f t="shared" si="135"/>
        <v>sea_attack = 2.25</v>
      </c>
      <c r="CX40" s="3" t="str">
        <f t="shared" si="136"/>
        <v>sub_attack = 3</v>
      </c>
      <c r="CY40" s="3" t="str">
        <f t="shared" si="137"/>
        <v>shore_bombardment = 0.00</v>
      </c>
      <c r="CZ40" s="3" t="str">
        <f t="shared" si="138"/>
        <v/>
      </c>
      <c r="DA40" s="3" t="str">
        <f t="shared" si="139"/>
        <v/>
      </c>
      <c r="DB40" s="3" t="str">
        <f t="shared" si="140"/>
        <v/>
      </c>
      <c r="DC40" s="3" t="str">
        <f t="shared" si="141"/>
        <v/>
      </c>
      <c r="DD40" s="3" t="s">
        <v>0</v>
      </c>
      <c r="DZ40" s="3" t="str">
        <f t="shared" si="142"/>
        <v xml:space="preserve">destroyer = {
active = no
air_attack = 1
air_defence = 1.5
build_cost_ic = 3.15
build_cost_manpower = 1.00
build_time = 160
completion_size = 0.4
default_morale = 0.30
default_organisation = 30
fuel_consumption = 0.28
max_strength = 100
maximum_speed = 20
officers = 0
on_completion = destroyer_practical
priority = 4
radio_strength = 1
repair_cost_multiplier = 0.05
sprite = Destroyer
supply_consumption = 0.25
type = naval
hull = 0.6
transport_capability = 0.00
range = 1500.00
distance = 0.06
surface_detection = 3.00
air_detection = 2.00
sub_detection = 3
visibility = 50.00
sea_defence = 15.00
convoy_attack = 2.00
sea_attack = 2.25
sub_attack = 3
shore_bombardment = 0.00
}
</v>
      </c>
    </row>
    <row r="41" spans="1:130" s="3" customFormat="1" x14ac:dyDescent="0.25">
      <c r="A41" s="2" t="str">
        <f t="shared" ca="1" si="99"/>
        <v>C:\Program Files (x86)\Paradox Interactive\Hearts of Iron III\tfh\mod\ww1tfh\units\escort_carrier.txt</v>
      </c>
      <c r="B41" s="3" t="s">
        <v>301</v>
      </c>
      <c r="C41" s="5" t="s">
        <v>90</v>
      </c>
      <c r="D41" s="6">
        <v>0</v>
      </c>
      <c r="E41" s="6">
        <v>0.75</v>
      </c>
      <c r="F41" s="5" t="s">
        <v>347</v>
      </c>
      <c r="G41" s="5" t="s">
        <v>135</v>
      </c>
      <c r="H41" s="5">
        <v>180</v>
      </c>
      <c r="I41" s="5">
        <v>0.8</v>
      </c>
      <c r="J41" s="5" t="s">
        <v>241</v>
      </c>
      <c r="K41" s="5" t="s">
        <v>264</v>
      </c>
      <c r="L41" s="5" t="s">
        <v>331</v>
      </c>
      <c r="M41" s="5" t="s">
        <v>137</v>
      </c>
      <c r="N41" s="6">
        <v>14.4</v>
      </c>
      <c r="O41" s="5" t="s">
        <v>133</v>
      </c>
      <c r="P41" s="5" t="s">
        <v>344</v>
      </c>
      <c r="Q41" s="5" t="s">
        <v>232</v>
      </c>
      <c r="R41" s="5" t="s">
        <v>353</v>
      </c>
      <c r="S41" s="5" t="s">
        <v>113</v>
      </c>
      <c r="T41" s="5" t="s">
        <v>345</v>
      </c>
      <c r="U41" s="5" t="s">
        <v>115</v>
      </c>
      <c r="V41" s="5" t="s">
        <v>327</v>
      </c>
      <c r="W41" s="5" t="s">
        <v>62</v>
      </c>
      <c r="X41" s="6">
        <v>0.48</v>
      </c>
      <c r="Y41" s="5" t="s">
        <v>62</v>
      </c>
      <c r="Z41" s="5" t="s">
        <v>62</v>
      </c>
      <c r="AA41" s="5" t="s">
        <v>62</v>
      </c>
      <c r="AB41" s="5" t="s">
        <v>106</v>
      </c>
      <c r="AC41" s="5" t="s">
        <v>354</v>
      </c>
      <c r="AD41" s="5">
        <v>1</v>
      </c>
      <c r="AE41" s="5" t="s">
        <v>115</v>
      </c>
      <c r="AF41" s="5" t="s">
        <v>135</v>
      </c>
      <c r="AG41" s="6">
        <v>0</v>
      </c>
      <c r="AH41" s="5" t="s">
        <v>330</v>
      </c>
      <c r="AI41" s="5" t="s">
        <v>129</v>
      </c>
      <c r="AJ41" s="5" t="s">
        <v>106</v>
      </c>
      <c r="AK41" s="11">
        <f t="shared" si="143"/>
        <v>0</v>
      </c>
      <c r="AL41" s="5" t="s">
        <v>106</v>
      </c>
      <c r="AM41" s="5" t="s">
        <v>106</v>
      </c>
      <c r="AN41" s="5" t="s">
        <v>159</v>
      </c>
      <c r="AO41" s="5" t="s">
        <v>62</v>
      </c>
      <c r="AP41" s="5" t="s">
        <v>102</v>
      </c>
      <c r="AQ41" s="5" t="s">
        <v>62</v>
      </c>
      <c r="BN41" s="3" t="str">
        <f t="shared" si="100"/>
        <v>escort_carrier = {</v>
      </c>
      <c r="BO41" s="3" t="str">
        <f t="shared" si="101"/>
        <v>active = no</v>
      </c>
      <c r="BP41" s="3" t="str">
        <f t="shared" si="102"/>
        <v>air_attack = 0</v>
      </c>
      <c r="BQ41" s="3" t="str">
        <f t="shared" si="103"/>
        <v>air_defence = 0.75</v>
      </c>
      <c r="BR41" s="3" t="str">
        <f t="shared" si="104"/>
        <v>build_cost_ic = 4.50</v>
      </c>
      <c r="BS41" s="3" t="str">
        <f t="shared" si="105"/>
        <v>build_cost_manpower = 2.00</v>
      </c>
      <c r="BT41" s="3" t="str">
        <f t="shared" si="106"/>
        <v>build_time = 180</v>
      </c>
      <c r="BU41" s="3" t="str">
        <f t="shared" si="107"/>
        <v>completion_size = 0.8</v>
      </c>
      <c r="BV41" s="3" t="str">
        <f t="shared" si="108"/>
        <v>default_morale = 0.30</v>
      </c>
      <c r="BW41" s="3" t="str">
        <f t="shared" si="109"/>
        <v>default_organisation = 30</v>
      </c>
      <c r="BX41" s="3" t="str">
        <f t="shared" si="110"/>
        <v>fuel_consumption = 0.92</v>
      </c>
      <c r="BY41" s="3" t="str">
        <f t="shared" si="111"/>
        <v>max_strength = 100</v>
      </c>
      <c r="BZ41" s="3" t="str">
        <f t="shared" si="112"/>
        <v>maximum_speed = 14.4</v>
      </c>
      <c r="CA41" s="3" t="str">
        <f t="shared" si="113"/>
        <v>officers = 0</v>
      </c>
      <c r="CB41" s="3" t="str">
        <f t="shared" si="114"/>
        <v>on_completion = carrier_practical</v>
      </c>
      <c r="CC41" s="3" t="str">
        <f t="shared" si="115"/>
        <v>priority = 7</v>
      </c>
      <c r="CD41" s="3" t="str">
        <f t="shared" si="116"/>
        <v>radio_strength = 1.1</v>
      </c>
      <c r="CE41" s="3" t="str">
        <f t="shared" si="117"/>
        <v>repair_cost_multiplier = 0.05</v>
      </c>
      <c r="CF41" s="3" t="str">
        <f t="shared" si="118"/>
        <v>sprite = Carrier</v>
      </c>
      <c r="CG41" s="3" t="str">
        <f t="shared" si="119"/>
        <v>supply_consumption = 1.00</v>
      </c>
      <c r="CH41" s="3" t="str">
        <f t="shared" si="120"/>
        <v>type = naval</v>
      </c>
      <c r="CI41" s="3" t="str">
        <f t="shared" si="121"/>
        <v/>
      </c>
      <c r="CJ41" s="3" t="str">
        <f t="shared" si="122"/>
        <v>hull = 0.48</v>
      </c>
      <c r="CK41" s="3" t="str">
        <f t="shared" si="123"/>
        <v/>
      </c>
      <c r="CL41" s="3" t="str">
        <f t="shared" si="124"/>
        <v/>
      </c>
      <c r="CM41" s="3" t="str">
        <f t="shared" si="125"/>
        <v/>
      </c>
      <c r="CN41" s="3" t="str">
        <f t="shared" si="126"/>
        <v>transport_capability = 0.00</v>
      </c>
      <c r="CO41" s="3" t="str">
        <f t="shared" si="127"/>
        <v>range = 2000.00</v>
      </c>
      <c r="CP41" s="3" t="str">
        <f t="shared" si="128"/>
        <v>distance = 1</v>
      </c>
      <c r="CQ41" s="3" t="str">
        <f t="shared" si="129"/>
        <v>surface_detection = 1.00</v>
      </c>
      <c r="CR41" s="3" t="str">
        <f t="shared" si="130"/>
        <v>air_detection = 2.00</v>
      </c>
      <c r="CS41" s="3" t="str">
        <f t="shared" si="131"/>
        <v>sub_detection = 0</v>
      </c>
      <c r="CT41" s="3" t="str">
        <f t="shared" si="132"/>
        <v>visibility = 80.00</v>
      </c>
      <c r="CU41" s="3" t="str">
        <f t="shared" si="133"/>
        <v>sea_defence = 5.00</v>
      </c>
      <c r="CV41" s="3" t="str">
        <f t="shared" si="134"/>
        <v>convoy_attack = 0.00</v>
      </c>
      <c r="CW41" s="3" t="str">
        <f t="shared" si="135"/>
        <v>sea_attack = 0</v>
      </c>
      <c r="CX41" s="3" t="str">
        <f t="shared" si="136"/>
        <v>sub_attack = 0.00</v>
      </c>
      <c r="CY41" s="3" t="str">
        <f t="shared" si="137"/>
        <v>shore_bombardment = 0.00</v>
      </c>
      <c r="CZ41" s="3" t="str">
        <f t="shared" si="138"/>
        <v>capital = yes</v>
      </c>
      <c r="DA41" s="3" t="str">
        <f t="shared" si="139"/>
        <v/>
      </c>
      <c r="DB41" s="3" t="str">
        <f t="shared" si="140"/>
        <v>carrier_size = 1</v>
      </c>
      <c r="DC41" s="3" t="str">
        <f t="shared" si="141"/>
        <v/>
      </c>
      <c r="DD41" s="3" t="s">
        <v>0</v>
      </c>
      <c r="DZ41" s="3" t="str">
        <f t="shared" si="142"/>
        <v xml:space="preserve">escort_carrier = {
active = no
air_attack = 0
air_defence = 0.75
build_cost_ic = 4.50
build_cost_manpower = 2.00
build_time = 180
completion_size = 0.8
default_morale = 0.30
default_organisation = 30
fuel_consumption = 0.92
max_strength = 100
maximum_speed = 14.4
officers = 0
on_completion = carrier_practical
priority = 7
radio_strength = 1.1
repair_cost_multiplier = 0.05
sprite = Carrier
supply_consumption = 1.00
type = naval
hull = 0.48
transport_capability = 0.00
range = 2000.00
distance = 1
surface_detection = 1.00
air_detection = 2.00
sub_detection = 0
visibility = 80.00
sea_defence = 5.00
convoy_attack = 0.00
sea_attack = 0
sub_attack = 0.00
shore_bombardment = 0.00
capital = yes
carrier_size = 1
}
</v>
      </c>
    </row>
    <row r="42" spans="1:130" s="3" customFormat="1" x14ac:dyDescent="0.25">
      <c r="A42" s="2" t="str">
        <f t="shared" ca="1" si="99"/>
        <v>C:\Program Files (x86)\Paradox Interactive\Hearts of Iron III\tfh\mod\ww1tfh\units\heavy_cruiser.txt</v>
      </c>
      <c r="B42" s="3" t="s">
        <v>302</v>
      </c>
      <c r="C42" s="5" t="s">
        <v>90</v>
      </c>
      <c r="D42" s="6">
        <v>2</v>
      </c>
      <c r="E42" s="6">
        <v>2</v>
      </c>
      <c r="F42" s="5">
        <v>4.2</v>
      </c>
      <c r="G42" s="5" t="s">
        <v>145</v>
      </c>
      <c r="H42" s="5">
        <v>224</v>
      </c>
      <c r="I42" s="5">
        <v>0.8</v>
      </c>
      <c r="J42" s="5" t="s">
        <v>241</v>
      </c>
      <c r="K42" s="5" t="s">
        <v>264</v>
      </c>
      <c r="L42" s="5" t="s">
        <v>355</v>
      </c>
      <c r="M42" s="5" t="s">
        <v>137</v>
      </c>
      <c r="N42" s="6">
        <v>16</v>
      </c>
      <c r="O42" s="5" t="s">
        <v>133</v>
      </c>
      <c r="P42" s="5" t="s">
        <v>356</v>
      </c>
      <c r="Q42" s="5" t="s">
        <v>110</v>
      </c>
      <c r="R42" s="5" t="s">
        <v>102</v>
      </c>
      <c r="S42" s="5" t="s">
        <v>113</v>
      </c>
      <c r="T42" s="5" t="s">
        <v>357</v>
      </c>
      <c r="U42" s="5" t="s">
        <v>358</v>
      </c>
      <c r="V42" s="5" t="s">
        <v>327</v>
      </c>
      <c r="W42" s="5" t="s">
        <v>62</v>
      </c>
      <c r="X42" s="6">
        <v>0.66</v>
      </c>
      <c r="Y42" s="5" t="s">
        <v>62</v>
      </c>
      <c r="Z42" s="5" t="s">
        <v>62</v>
      </c>
      <c r="AA42" s="5" t="s">
        <v>62</v>
      </c>
      <c r="AB42" s="5" t="s">
        <v>106</v>
      </c>
      <c r="AC42" s="5" t="s">
        <v>335</v>
      </c>
      <c r="AD42" s="5">
        <v>0.12</v>
      </c>
      <c r="AE42" s="5" t="s">
        <v>115</v>
      </c>
      <c r="AF42" s="5" t="s">
        <v>115</v>
      </c>
      <c r="AG42" s="6">
        <v>1</v>
      </c>
      <c r="AH42" s="5" t="s">
        <v>359</v>
      </c>
      <c r="AI42" s="5" t="s">
        <v>212</v>
      </c>
      <c r="AJ42" s="5" t="s">
        <v>201</v>
      </c>
      <c r="AK42" s="11">
        <f t="shared" si="143"/>
        <v>6</v>
      </c>
      <c r="AL42" s="5" t="s">
        <v>115</v>
      </c>
      <c r="AM42" s="5" t="s">
        <v>147</v>
      </c>
      <c r="AN42" s="5" t="s">
        <v>159</v>
      </c>
      <c r="AO42" s="5" t="s">
        <v>62</v>
      </c>
      <c r="AP42" s="5" t="s">
        <v>62</v>
      </c>
      <c r="AQ42" s="5" t="s">
        <v>62</v>
      </c>
      <c r="BN42" s="3" t="str">
        <f t="shared" si="100"/>
        <v>heavy_cruiser = {</v>
      </c>
      <c r="BO42" s="3" t="str">
        <f t="shared" si="101"/>
        <v>active = no</v>
      </c>
      <c r="BP42" s="3" t="str">
        <f t="shared" si="102"/>
        <v>air_attack = 2</v>
      </c>
      <c r="BQ42" s="3" t="str">
        <f t="shared" si="103"/>
        <v>air_defence = 2</v>
      </c>
      <c r="BR42" s="3" t="str">
        <f t="shared" si="104"/>
        <v>build_cost_ic = 4.2</v>
      </c>
      <c r="BS42" s="3" t="str">
        <f t="shared" si="105"/>
        <v>build_cost_manpower = 1.50</v>
      </c>
      <c r="BT42" s="3" t="str">
        <f t="shared" si="106"/>
        <v>build_time = 224</v>
      </c>
      <c r="BU42" s="3" t="str">
        <f t="shared" si="107"/>
        <v>completion_size = 0.8</v>
      </c>
      <c r="BV42" s="3" t="str">
        <f t="shared" si="108"/>
        <v>default_morale = 0.30</v>
      </c>
      <c r="BW42" s="3" t="str">
        <f t="shared" si="109"/>
        <v>default_organisation = 30</v>
      </c>
      <c r="BX42" s="3" t="str">
        <f t="shared" si="110"/>
        <v>fuel_consumption = 0.58</v>
      </c>
      <c r="BY42" s="3" t="str">
        <f t="shared" si="111"/>
        <v>max_strength = 100</v>
      </c>
      <c r="BZ42" s="3" t="str">
        <f t="shared" si="112"/>
        <v>maximum_speed = 16</v>
      </c>
      <c r="CA42" s="3" t="str">
        <f t="shared" si="113"/>
        <v>officers = 0</v>
      </c>
      <c r="CB42" s="3" t="str">
        <f t="shared" si="114"/>
        <v>on_completion = cruiser_practical</v>
      </c>
      <c r="CC42" s="3" t="str">
        <f t="shared" si="115"/>
        <v>priority = 6</v>
      </c>
      <c r="CD42" s="3" t="str">
        <f t="shared" si="116"/>
        <v>radio_strength = 1</v>
      </c>
      <c r="CE42" s="3" t="str">
        <f t="shared" si="117"/>
        <v>repair_cost_multiplier = 0.05</v>
      </c>
      <c r="CF42" s="3" t="str">
        <f t="shared" si="118"/>
        <v>sprite = HeavyCruiser</v>
      </c>
      <c r="CG42" s="3" t="str">
        <f t="shared" si="119"/>
        <v>supply_consumption = 0.40</v>
      </c>
      <c r="CH42" s="3" t="str">
        <f t="shared" si="120"/>
        <v>type = naval</v>
      </c>
      <c r="CI42" s="3" t="str">
        <f t="shared" si="121"/>
        <v/>
      </c>
      <c r="CJ42" s="3" t="str">
        <f t="shared" si="122"/>
        <v>hull = 0.66</v>
      </c>
      <c r="CK42" s="3" t="str">
        <f t="shared" si="123"/>
        <v/>
      </c>
      <c r="CL42" s="3" t="str">
        <f t="shared" si="124"/>
        <v/>
      </c>
      <c r="CM42" s="3" t="str">
        <f t="shared" si="125"/>
        <v/>
      </c>
      <c r="CN42" s="3" t="str">
        <f t="shared" si="126"/>
        <v>transport_capability = 0.00</v>
      </c>
      <c r="CO42" s="3" t="str">
        <f t="shared" si="127"/>
        <v>range = 2500.00</v>
      </c>
      <c r="CP42" s="3" t="str">
        <f t="shared" si="128"/>
        <v>distance = 0.12</v>
      </c>
      <c r="CQ42" s="3" t="str">
        <f t="shared" si="129"/>
        <v>surface_detection = 1.00</v>
      </c>
      <c r="CR42" s="3" t="str">
        <f t="shared" si="130"/>
        <v>air_detection = 1.00</v>
      </c>
      <c r="CS42" s="3" t="str">
        <f t="shared" si="131"/>
        <v>sub_detection = 1</v>
      </c>
      <c r="CT42" s="3" t="str">
        <f t="shared" si="132"/>
        <v>visibility = 70.00</v>
      </c>
      <c r="CU42" s="3" t="str">
        <f t="shared" si="133"/>
        <v>sea_defence = 8.00</v>
      </c>
      <c r="CV42" s="3" t="str">
        <f t="shared" si="134"/>
        <v>convoy_attack = 6.00</v>
      </c>
      <c r="CW42" s="3" t="str">
        <f t="shared" si="135"/>
        <v>sea_attack = 6</v>
      </c>
      <c r="CX42" s="3" t="str">
        <f t="shared" si="136"/>
        <v>sub_attack = 1.00</v>
      </c>
      <c r="CY42" s="3" t="str">
        <f t="shared" si="137"/>
        <v>shore_bombardment = 3.00</v>
      </c>
      <c r="CZ42" s="3" t="str">
        <f t="shared" si="138"/>
        <v>capital = yes</v>
      </c>
      <c r="DA42" s="3" t="str">
        <f t="shared" si="139"/>
        <v/>
      </c>
      <c r="DB42" s="3" t="str">
        <f t="shared" si="140"/>
        <v/>
      </c>
      <c r="DC42" s="3" t="str">
        <f t="shared" si="141"/>
        <v/>
      </c>
      <c r="DD42" s="3" t="s">
        <v>0</v>
      </c>
      <c r="DZ42" s="3" t="str">
        <f t="shared" si="142"/>
        <v xml:space="preserve">heavy_cruiser = {
active = no
air_attack = 2
air_defence = 2
build_cost_ic = 4.2
build_cost_manpower = 1.50
build_time = 224
completion_size = 0.8
default_morale = 0.30
default_organisation = 30
fuel_consumption = 0.58
max_strength = 100
maximum_speed = 16
officers = 0
on_completion = cruiser_practical
priority = 6
radio_strength = 1
repair_cost_multiplier = 0.05
sprite = HeavyCruiser
supply_consumption = 0.40
type = naval
hull = 0.66
transport_capability = 0.00
range = 2500.00
distance = 0.12
surface_detection = 1.00
air_detection = 1.00
sub_detection = 1
visibility = 70.00
sea_defence = 8.00
convoy_attack = 6.00
sea_attack = 6
sub_attack = 1.00
shore_bombardment = 3.00
capital = yes
}
</v>
      </c>
    </row>
    <row r="43" spans="1:130" s="3" customFormat="1" x14ac:dyDescent="0.25">
      <c r="A43" s="2" t="str">
        <f t="shared" ca="1" si="99"/>
        <v>C:\Program Files (x86)\Paradox Interactive\Hearts of Iron III\tfh\mod\ww1tfh\units\invasion_transport_ship.txt</v>
      </c>
      <c r="B43" s="3" t="s">
        <v>303</v>
      </c>
      <c r="C43" s="5" t="s">
        <v>90</v>
      </c>
      <c r="D43" s="6">
        <v>0</v>
      </c>
      <c r="E43" s="6">
        <v>0.5</v>
      </c>
      <c r="F43" s="5" t="s">
        <v>201</v>
      </c>
      <c r="G43" s="5" t="s">
        <v>321</v>
      </c>
      <c r="H43" s="5" t="s">
        <v>174</v>
      </c>
      <c r="I43" s="5" t="s">
        <v>322</v>
      </c>
      <c r="J43" s="5" t="s">
        <v>323</v>
      </c>
      <c r="K43" s="5" t="s">
        <v>324</v>
      </c>
      <c r="L43" s="5" t="s">
        <v>321</v>
      </c>
      <c r="M43" s="5" t="s">
        <v>137</v>
      </c>
      <c r="N43" s="6">
        <v>14.4</v>
      </c>
      <c r="O43" s="5" t="s">
        <v>133</v>
      </c>
      <c r="P43" s="5" t="s">
        <v>325</v>
      </c>
      <c r="Q43" s="5" t="s">
        <v>102</v>
      </c>
      <c r="R43" s="5" t="s">
        <v>102</v>
      </c>
      <c r="S43" s="5" t="s">
        <v>113</v>
      </c>
      <c r="T43" s="5" t="s">
        <v>360</v>
      </c>
      <c r="U43" s="5" t="s">
        <v>241</v>
      </c>
      <c r="V43" s="5" t="s">
        <v>327</v>
      </c>
      <c r="W43" s="5" t="s">
        <v>159</v>
      </c>
      <c r="X43" s="6">
        <v>0.6</v>
      </c>
      <c r="Y43" s="5">
        <v>0.25</v>
      </c>
      <c r="Z43" s="5" t="s">
        <v>100</v>
      </c>
      <c r="AA43" s="5" t="s">
        <v>62</v>
      </c>
      <c r="AB43" s="5" t="s">
        <v>328</v>
      </c>
      <c r="AC43" s="5" t="s">
        <v>329</v>
      </c>
      <c r="AD43" s="5">
        <v>0.1</v>
      </c>
      <c r="AE43" s="5" t="s">
        <v>106</v>
      </c>
      <c r="AF43" s="5" t="s">
        <v>106</v>
      </c>
      <c r="AG43" s="6">
        <v>0</v>
      </c>
      <c r="AH43" s="5" t="s">
        <v>330</v>
      </c>
      <c r="AI43" s="5" t="s">
        <v>115</v>
      </c>
      <c r="AJ43" s="5" t="s">
        <v>106</v>
      </c>
      <c r="AK43" s="11">
        <f t="shared" si="143"/>
        <v>0</v>
      </c>
      <c r="AL43" s="5" t="s">
        <v>106</v>
      </c>
      <c r="AM43" s="5" t="s">
        <v>106</v>
      </c>
      <c r="AN43" s="5" t="s">
        <v>62</v>
      </c>
      <c r="AO43" s="5" t="s">
        <v>62</v>
      </c>
      <c r="AP43" s="5" t="s">
        <v>62</v>
      </c>
      <c r="AQ43" s="5" t="s">
        <v>62</v>
      </c>
      <c r="BN43" s="3" t="str">
        <f t="shared" si="100"/>
        <v>invasion_transport_ship = {</v>
      </c>
      <c r="BO43" s="3" t="str">
        <f t="shared" si="101"/>
        <v>active = no</v>
      </c>
      <c r="BP43" s="3" t="str">
        <f t="shared" si="102"/>
        <v>air_attack = 0</v>
      </c>
      <c r="BQ43" s="3" t="str">
        <f t="shared" si="103"/>
        <v>air_defence = 0.5</v>
      </c>
      <c r="BR43" s="3" t="str">
        <f t="shared" si="104"/>
        <v>build_cost_ic = 6.00</v>
      </c>
      <c r="BS43" s="3" t="str">
        <f t="shared" si="105"/>
        <v>build_cost_manpower = 1.25</v>
      </c>
      <c r="BT43" s="3" t="str">
        <f t="shared" si="106"/>
        <v>build_time = 110</v>
      </c>
      <c r="BU43" s="3" t="str">
        <f t="shared" si="107"/>
        <v>completion_size = 1.0</v>
      </c>
      <c r="BV43" s="3" t="str">
        <f t="shared" si="108"/>
        <v>default_morale = 0.25</v>
      </c>
      <c r="BW43" s="3" t="str">
        <f t="shared" si="109"/>
        <v>default_organisation = 22</v>
      </c>
      <c r="BX43" s="3" t="str">
        <f t="shared" si="110"/>
        <v>fuel_consumption = 1.25</v>
      </c>
      <c r="BY43" s="3" t="str">
        <f t="shared" si="111"/>
        <v>max_strength = 100</v>
      </c>
      <c r="BZ43" s="3" t="str">
        <f t="shared" si="112"/>
        <v>maximum_speed = 14.4</v>
      </c>
      <c r="CA43" s="3" t="str">
        <f t="shared" si="113"/>
        <v>officers = 0</v>
      </c>
      <c r="CB43" s="3" t="str">
        <f t="shared" si="114"/>
        <v>on_completion = transport_practical</v>
      </c>
      <c r="CC43" s="3" t="str">
        <f t="shared" si="115"/>
        <v>priority = 1</v>
      </c>
      <c r="CD43" s="3" t="str">
        <f t="shared" si="116"/>
        <v>radio_strength = 1</v>
      </c>
      <c r="CE43" s="3" t="str">
        <f t="shared" si="117"/>
        <v>repair_cost_multiplier = 0.05</v>
      </c>
      <c r="CF43" s="3" t="str">
        <f t="shared" si="118"/>
        <v>sprite = LCTLandingcraft</v>
      </c>
      <c r="CG43" s="3" t="str">
        <f t="shared" si="119"/>
        <v>supply_consumption = 0.30</v>
      </c>
      <c r="CH43" s="3" t="str">
        <f t="shared" si="120"/>
        <v>type = naval</v>
      </c>
      <c r="CI43" s="3" t="str">
        <f t="shared" si="121"/>
        <v>transport = yes</v>
      </c>
      <c r="CJ43" s="3" t="str">
        <f t="shared" si="122"/>
        <v>hull = 0.6</v>
      </c>
      <c r="CK43" s="3" t="str">
        <f t="shared" si="123"/>
        <v>amphibious_invasion_speed = 0.25</v>
      </c>
      <c r="CL43" s="3" t="str">
        <f t="shared" si="124"/>
        <v>amphibious_invasion_defence = 0.10</v>
      </c>
      <c r="CM43" s="3" t="str">
        <f t="shared" si="125"/>
        <v/>
      </c>
      <c r="CN43" s="3" t="str">
        <f t="shared" si="126"/>
        <v>transport_capability = 60.00</v>
      </c>
      <c r="CO43" s="3" t="str">
        <f t="shared" si="127"/>
        <v>range = 3500.00</v>
      </c>
      <c r="CP43" s="3" t="str">
        <f t="shared" si="128"/>
        <v>distance = 0.1</v>
      </c>
      <c r="CQ43" s="3" t="str">
        <f t="shared" si="129"/>
        <v>surface_detection = 0.00</v>
      </c>
      <c r="CR43" s="3" t="str">
        <f t="shared" si="130"/>
        <v>air_detection = 0.00</v>
      </c>
      <c r="CS43" s="3" t="str">
        <f t="shared" si="131"/>
        <v>sub_detection = 0</v>
      </c>
      <c r="CT43" s="3" t="str">
        <f t="shared" si="132"/>
        <v>visibility = 80.00</v>
      </c>
      <c r="CU43" s="3" t="str">
        <f t="shared" si="133"/>
        <v>sea_defence = 1.00</v>
      </c>
      <c r="CV43" s="3" t="str">
        <f t="shared" si="134"/>
        <v>convoy_attack = 0.00</v>
      </c>
      <c r="CW43" s="3" t="str">
        <f t="shared" si="135"/>
        <v>sea_attack = 0</v>
      </c>
      <c r="CX43" s="3" t="str">
        <f t="shared" si="136"/>
        <v>sub_attack = 0.00</v>
      </c>
      <c r="CY43" s="3" t="str">
        <f t="shared" si="137"/>
        <v>shore_bombardment = 0.00</v>
      </c>
      <c r="CZ43" s="3" t="str">
        <f t="shared" si="138"/>
        <v/>
      </c>
      <c r="DA43" s="3" t="str">
        <f t="shared" si="139"/>
        <v/>
      </c>
      <c r="DB43" s="3" t="str">
        <f t="shared" si="140"/>
        <v/>
      </c>
      <c r="DC43" s="3" t="str">
        <f t="shared" si="141"/>
        <v/>
      </c>
      <c r="DD43" s="3" t="s">
        <v>0</v>
      </c>
      <c r="DZ43" s="3" t="str">
        <f t="shared" si="142"/>
        <v xml:space="preserve">invasion_transport_ship = {
active = no
air_attack = 0
air_defence = 0.5
build_cost_ic = 6.00
build_cost_manpower = 1.25
build_time = 110
completion_size = 1.0
default_morale = 0.25
default_organisation = 22
fuel_consumption = 1.25
max_strength = 100
maximum_speed = 14.4
officers = 0
on_completion = transport_practical
priority = 1
radio_strength = 1
repair_cost_multiplier = 0.05
sprite = LCTLandingcraft
supply_consumption = 0.30
type = naval
transport = yes
hull = 0.6
amphibious_invasion_speed = 0.25
amphibious_invasion_defence = 0.10
transport_capability = 60.00
range = 3500.00
distance = 0.1
surface_detection = 0.00
air_detection = 0.00
sub_detection = 0
visibility = 80.00
sea_defence = 1.00
convoy_attack = 0.00
sea_attack = 0
sub_attack = 0.00
shore_bombardment = 0.00
}
</v>
      </c>
    </row>
    <row r="44" spans="1:130" s="3" customFormat="1" x14ac:dyDescent="0.25">
      <c r="A44" s="2" t="str">
        <f t="shared" ca="1" si="99"/>
        <v>C:\Program Files (x86)\Paradox Interactive\Hearts of Iron III\tfh\mod\ww1tfh\units\light_cruiser.txt</v>
      </c>
      <c r="B44" s="3" t="s">
        <v>304</v>
      </c>
      <c r="C44" s="5" t="s">
        <v>90</v>
      </c>
      <c r="D44" s="6">
        <v>2</v>
      </c>
      <c r="E44" s="6">
        <v>2.5</v>
      </c>
      <c r="F44" s="5">
        <v>3.15</v>
      </c>
      <c r="G44" s="5" t="s">
        <v>115</v>
      </c>
      <c r="H44" s="5">
        <v>224</v>
      </c>
      <c r="I44" s="5">
        <v>0.6</v>
      </c>
      <c r="J44" s="5" t="s">
        <v>241</v>
      </c>
      <c r="K44" s="5" t="s">
        <v>264</v>
      </c>
      <c r="L44" s="5" t="s">
        <v>361</v>
      </c>
      <c r="M44" s="5" t="s">
        <v>137</v>
      </c>
      <c r="N44" s="6">
        <v>18.399999999999999</v>
      </c>
      <c r="O44" s="5" t="s">
        <v>133</v>
      </c>
      <c r="P44" s="5" t="s">
        <v>356</v>
      </c>
      <c r="Q44" s="5" t="s">
        <v>146</v>
      </c>
      <c r="R44" s="5" t="s">
        <v>102</v>
      </c>
      <c r="S44" s="5" t="s">
        <v>113</v>
      </c>
      <c r="T44" s="5" t="s">
        <v>362</v>
      </c>
      <c r="U44" s="5" t="s">
        <v>363</v>
      </c>
      <c r="V44" s="5" t="s">
        <v>327</v>
      </c>
      <c r="W44" s="5" t="s">
        <v>62</v>
      </c>
      <c r="X44" s="6">
        <v>0.6</v>
      </c>
      <c r="Y44" s="5" t="s">
        <v>62</v>
      </c>
      <c r="Z44" s="5" t="s">
        <v>62</v>
      </c>
      <c r="AA44" s="5" t="s">
        <v>62</v>
      </c>
      <c r="AB44" s="5" t="s">
        <v>106</v>
      </c>
      <c r="AC44" s="5" t="s">
        <v>354</v>
      </c>
      <c r="AD44" s="5">
        <v>0.1</v>
      </c>
      <c r="AE44" s="5" t="s">
        <v>135</v>
      </c>
      <c r="AF44" s="5" t="s">
        <v>135</v>
      </c>
      <c r="AG44" s="6">
        <v>2</v>
      </c>
      <c r="AH44" s="5" t="s">
        <v>328</v>
      </c>
      <c r="AI44" s="5" t="s">
        <v>336</v>
      </c>
      <c r="AJ44" s="5" t="s">
        <v>147</v>
      </c>
      <c r="AK44" s="11">
        <f t="shared" si="143"/>
        <v>3.75</v>
      </c>
      <c r="AL44" s="6">
        <v>1</v>
      </c>
      <c r="AM44" s="5" t="s">
        <v>115</v>
      </c>
      <c r="AN44" s="5" t="s">
        <v>62</v>
      </c>
      <c r="AO44" s="5" t="s">
        <v>62</v>
      </c>
      <c r="AP44" s="5" t="s">
        <v>62</v>
      </c>
      <c r="AQ44" s="5" t="s">
        <v>62</v>
      </c>
      <c r="BN44" s="3" t="str">
        <f t="shared" si="100"/>
        <v>light_cruiser = {</v>
      </c>
      <c r="BO44" s="3" t="str">
        <f t="shared" si="101"/>
        <v>active = no</v>
      </c>
      <c r="BP44" s="3" t="str">
        <f t="shared" si="102"/>
        <v>air_attack = 2</v>
      </c>
      <c r="BQ44" s="3" t="str">
        <f t="shared" si="103"/>
        <v>air_defence = 2.5</v>
      </c>
      <c r="BR44" s="3" t="str">
        <f t="shared" si="104"/>
        <v>build_cost_ic = 3.15</v>
      </c>
      <c r="BS44" s="3" t="str">
        <f t="shared" si="105"/>
        <v>build_cost_manpower = 1.00</v>
      </c>
      <c r="BT44" s="3" t="str">
        <f t="shared" si="106"/>
        <v>build_time = 224</v>
      </c>
      <c r="BU44" s="3" t="str">
        <f t="shared" si="107"/>
        <v>completion_size = 0.6</v>
      </c>
      <c r="BV44" s="3" t="str">
        <f t="shared" si="108"/>
        <v>default_morale = 0.30</v>
      </c>
      <c r="BW44" s="3" t="str">
        <f t="shared" si="109"/>
        <v>default_organisation = 30</v>
      </c>
      <c r="BX44" s="3" t="str">
        <f t="shared" si="110"/>
        <v>fuel_consumption = 0.43</v>
      </c>
      <c r="BY44" s="3" t="str">
        <f t="shared" si="111"/>
        <v>max_strength = 100</v>
      </c>
      <c r="BZ44" s="3" t="str">
        <f t="shared" si="112"/>
        <v>maximum_speed = 18.4</v>
      </c>
      <c r="CA44" s="3" t="str">
        <f t="shared" si="113"/>
        <v>officers = 0</v>
      </c>
      <c r="CB44" s="3" t="str">
        <f t="shared" si="114"/>
        <v>on_completion = cruiser_practical</v>
      </c>
      <c r="CC44" s="3" t="str">
        <f t="shared" si="115"/>
        <v>priority = 5</v>
      </c>
      <c r="CD44" s="3" t="str">
        <f t="shared" si="116"/>
        <v>radio_strength = 1</v>
      </c>
      <c r="CE44" s="3" t="str">
        <f t="shared" si="117"/>
        <v>repair_cost_multiplier = 0.05</v>
      </c>
      <c r="CF44" s="3" t="str">
        <f t="shared" si="118"/>
        <v>sprite = LightCruiser</v>
      </c>
      <c r="CG44" s="3" t="str">
        <f t="shared" si="119"/>
        <v>supply_consumption = 0.36</v>
      </c>
      <c r="CH44" s="3" t="str">
        <f t="shared" si="120"/>
        <v>type = naval</v>
      </c>
      <c r="CI44" s="3" t="str">
        <f t="shared" si="121"/>
        <v/>
      </c>
      <c r="CJ44" s="3" t="str">
        <f t="shared" si="122"/>
        <v>hull = 0.6</v>
      </c>
      <c r="CK44" s="3" t="str">
        <f t="shared" si="123"/>
        <v/>
      </c>
      <c r="CL44" s="3" t="str">
        <f t="shared" si="124"/>
        <v/>
      </c>
      <c r="CM44" s="3" t="str">
        <f t="shared" si="125"/>
        <v/>
      </c>
      <c r="CN44" s="3" t="str">
        <f t="shared" si="126"/>
        <v>transport_capability = 0.00</v>
      </c>
      <c r="CO44" s="3" t="str">
        <f t="shared" si="127"/>
        <v>range = 2000.00</v>
      </c>
      <c r="CP44" s="3" t="str">
        <f t="shared" si="128"/>
        <v>distance = 0.1</v>
      </c>
      <c r="CQ44" s="3" t="str">
        <f t="shared" si="129"/>
        <v>surface_detection = 2.00</v>
      </c>
      <c r="CR44" s="3" t="str">
        <f t="shared" si="130"/>
        <v>air_detection = 2.00</v>
      </c>
      <c r="CS44" s="3" t="str">
        <f t="shared" si="131"/>
        <v>sub_detection = 2</v>
      </c>
      <c r="CT44" s="3" t="str">
        <f t="shared" si="132"/>
        <v>visibility = 60.00</v>
      </c>
      <c r="CU44" s="3" t="str">
        <f t="shared" si="133"/>
        <v>sea_defence = 12.00</v>
      </c>
      <c r="CV44" s="3" t="str">
        <f t="shared" si="134"/>
        <v>convoy_attack = 3.00</v>
      </c>
      <c r="CW44" s="3" t="str">
        <f t="shared" si="135"/>
        <v>sea_attack = 3.75</v>
      </c>
      <c r="CX44" s="3" t="str">
        <f t="shared" si="136"/>
        <v>sub_attack = 1</v>
      </c>
      <c r="CY44" s="3" t="str">
        <f t="shared" si="137"/>
        <v>shore_bombardment = 1.00</v>
      </c>
      <c r="CZ44" s="3" t="str">
        <f t="shared" si="138"/>
        <v/>
      </c>
      <c r="DA44" s="3" t="str">
        <f t="shared" si="139"/>
        <v/>
      </c>
      <c r="DB44" s="3" t="str">
        <f t="shared" si="140"/>
        <v/>
      </c>
      <c r="DC44" s="3" t="str">
        <f t="shared" si="141"/>
        <v/>
      </c>
      <c r="DD44" s="3" t="s">
        <v>0</v>
      </c>
      <c r="DZ44" s="3" t="str">
        <f t="shared" si="142"/>
        <v xml:space="preserve">light_cruiser = {
active = no
air_attack = 2
air_defence = 2.5
build_cost_ic = 3.15
build_cost_manpower = 1.00
build_time = 224
completion_size = 0.6
default_morale = 0.30
default_organisation = 30
fuel_consumption = 0.43
max_strength = 100
maximum_speed = 18.4
officers = 0
on_completion = cruiser_practical
priority = 5
radio_strength = 1
repair_cost_multiplier = 0.05
sprite = LightCruiser
supply_consumption = 0.36
type = naval
hull = 0.6
transport_capability = 0.00
range = 2000.00
distance = 0.1
surface_detection = 2.00
air_detection = 2.00
sub_detection = 2
visibility = 60.00
sea_defence = 12.00
convoy_attack = 3.00
sea_attack = 3.75
sub_attack = 1
shore_bombardment = 1.00
}
</v>
      </c>
    </row>
    <row r="45" spans="1:130" s="3" customFormat="1" x14ac:dyDescent="0.25">
      <c r="A45" s="2" t="str">
        <f t="shared" ca="1" si="99"/>
        <v>C:\Program Files (x86)\Paradox Interactive\Hearts of Iron III\tfh\mod\ww1tfh\units\submarine.txt</v>
      </c>
      <c r="B45" s="3" t="s">
        <v>305</v>
      </c>
      <c r="C45" s="5" t="s">
        <v>90</v>
      </c>
      <c r="D45" s="6">
        <v>0</v>
      </c>
      <c r="E45" s="6">
        <v>0.5</v>
      </c>
      <c r="F45" s="5" t="s">
        <v>105</v>
      </c>
      <c r="G45" s="5" t="s">
        <v>175</v>
      </c>
      <c r="H45" s="5" t="s">
        <v>367</v>
      </c>
      <c r="I45" s="5" t="s">
        <v>102</v>
      </c>
      <c r="J45" s="5" t="s">
        <v>368</v>
      </c>
      <c r="K45" s="5" t="s">
        <v>369</v>
      </c>
      <c r="L45" s="5" t="s">
        <v>355</v>
      </c>
      <c r="M45" s="5" t="s">
        <v>137</v>
      </c>
      <c r="N45" s="6">
        <v>8</v>
      </c>
      <c r="O45" s="5" t="s">
        <v>133</v>
      </c>
      <c r="P45" s="5" t="s">
        <v>364</v>
      </c>
      <c r="Q45" s="5" t="s">
        <v>139</v>
      </c>
      <c r="R45" s="5" t="s">
        <v>102</v>
      </c>
      <c r="S45" s="5" t="s">
        <v>113</v>
      </c>
      <c r="T45" s="5" t="s">
        <v>365</v>
      </c>
      <c r="U45" s="5" t="s">
        <v>241</v>
      </c>
      <c r="V45" s="5" t="s">
        <v>327</v>
      </c>
      <c r="W45" s="5" t="s">
        <v>62</v>
      </c>
      <c r="X45" s="6">
        <v>0.3</v>
      </c>
      <c r="Y45" s="5" t="s">
        <v>62</v>
      </c>
      <c r="Z45" s="5" t="s">
        <v>62</v>
      </c>
      <c r="AA45" s="5" t="s">
        <v>62</v>
      </c>
      <c r="AB45" s="5" t="s">
        <v>106</v>
      </c>
      <c r="AC45" s="5" t="s">
        <v>267</v>
      </c>
      <c r="AD45" s="5">
        <v>0.1</v>
      </c>
      <c r="AE45" s="5" t="s">
        <v>135</v>
      </c>
      <c r="AF45" s="5" t="s">
        <v>115</v>
      </c>
      <c r="AG45" s="6">
        <v>0</v>
      </c>
      <c r="AH45" s="6">
        <v>7</v>
      </c>
      <c r="AI45" s="5" t="s">
        <v>129</v>
      </c>
      <c r="AJ45" s="5" t="s">
        <v>115</v>
      </c>
      <c r="AK45" s="11">
        <f t="shared" si="143"/>
        <v>1.5</v>
      </c>
      <c r="AL45" s="5" t="s">
        <v>106</v>
      </c>
      <c r="AM45" s="5" t="s">
        <v>106</v>
      </c>
      <c r="AN45" s="5" t="s">
        <v>62</v>
      </c>
      <c r="AO45" s="5" t="s">
        <v>62</v>
      </c>
      <c r="AP45" s="5" t="s">
        <v>62</v>
      </c>
      <c r="AQ45" s="5" t="s">
        <v>159</v>
      </c>
      <c r="BN45" s="3" t="str">
        <f t="shared" si="100"/>
        <v>submarine = {</v>
      </c>
      <c r="BO45" s="3" t="str">
        <f t="shared" si="101"/>
        <v>active = no</v>
      </c>
      <c r="BP45" s="3" t="str">
        <f t="shared" si="102"/>
        <v>air_attack = 0</v>
      </c>
      <c r="BQ45" s="3" t="str">
        <f t="shared" si="103"/>
        <v>air_defence = 0.5</v>
      </c>
      <c r="BR45" s="3" t="str">
        <f t="shared" si="104"/>
        <v>build_cost_ic = 4.00</v>
      </c>
      <c r="BS45" s="3" t="str">
        <f t="shared" si="105"/>
        <v>build_cost_manpower = 0.4</v>
      </c>
      <c r="BT45" s="3" t="str">
        <f t="shared" si="106"/>
        <v>build_time = 240</v>
      </c>
      <c r="BU45" s="3" t="str">
        <f t="shared" si="107"/>
        <v>completion_size = 1</v>
      </c>
      <c r="BV45" s="3" t="str">
        <f t="shared" si="108"/>
        <v>default_morale = 0.35</v>
      </c>
      <c r="BW45" s="3" t="str">
        <f t="shared" si="109"/>
        <v>default_organisation = 25</v>
      </c>
      <c r="BX45" s="3" t="str">
        <f t="shared" si="110"/>
        <v>fuel_consumption = 0.58</v>
      </c>
      <c r="BY45" s="3" t="str">
        <f t="shared" si="111"/>
        <v>max_strength = 100</v>
      </c>
      <c r="BZ45" s="3" t="str">
        <f t="shared" si="112"/>
        <v>maximum_speed = 8</v>
      </c>
      <c r="CA45" s="3" t="str">
        <f t="shared" si="113"/>
        <v>officers = 0</v>
      </c>
      <c r="CB45" s="3" t="str">
        <f t="shared" si="114"/>
        <v>on_completion = submarine_practical</v>
      </c>
      <c r="CC45" s="3" t="str">
        <f t="shared" si="115"/>
        <v>priority = 3</v>
      </c>
      <c r="CD45" s="3" t="str">
        <f t="shared" si="116"/>
        <v>radio_strength = 1</v>
      </c>
      <c r="CE45" s="3" t="str">
        <f t="shared" si="117"/>
        <v>repair_cost_multiplier = 0.05</v>
      </c>
      <c r="CF45" s="3" t="str">
        <f t="shared" si="118"/>
        <v>sprite = Submarine</v>
      </c>
      <c r="CG45" s="3" t="str">
        <f t="shared" si="119"/>
        <v>supply_consumption = 0.30</v>
      </c>
      <c r="CH45" s="3" t="str">
        <f t="shared" si="120"/>
        <v>type = naval</v>
      </c>
      <c r="CI45" s="3" t="str">
        <f t="shared" si="121"/>
        <v/>
      </c>
      <c r="CJ45" s="3" t="str">
        <f t="shared" si="122"/>
        <v>hull = 0.3</v>
      </c>
      <c r="CK45" s="3" t="str">
        <f t="shared" si="123"/>
        <v/>
      </c>
      <c r="CL45" s="3" t="str">
        <f t="shared" si="124"/>
        <v/>
      </c>
      <c r="CM45" s="3" t="str">
        <f t="shared" si="125"/>
        <v/>
      </c>
      <c r="CN45" s="3" t="str">
        <f t="shared" si="126"/>
        <v>transport_capability = 0.00</v>
      </c>
      <c r="CO45" s="3" t="str">
        <f t="shared" si="127"/>
        <v>range = 800.00</v>
      </c>
      <c r="CP45" s="3" t="str">
        <f t="shared" si="128"/>
        <v>distance = 0.1</v>
      </c>
      <c r="CQ45" s="3" t="str">
        <f t="shared" si="129"/>
        <v>surface_detection = 2.00</v>
      </c>
      <c r="CR45" s="3" t="str">
        <f t="shared" si="130"/>
        <v>air_detection = 1.00</v>
      </c>
      <c r="CS45" s="3" t="str">
        <f t="shared" si="131"/>
        <v>sub_detection = 0</v>
      </c>
      <c r="CT45" s="3" t="str">
        <f t="shared" si="132"/>
        <v>visibility = 7</v>
      </c>
      <c r="CU45" s="3" t="str">
        <f t="shared" si="133"/>
        <v>sea_defence = 5.00</v>
      </c>
      <c r="CV45" s="3" t="str">
        <f t="shared" si="134"/>
        <v>convoy_attack = 1.00</v>
      </c>
      <c r="CW45" s="3" t="str">
        <f t="shared" si="135"/>
        <v>sea_attack = 1.5</v>
      </c>
      <c r="CX45" s="3" t="str">
        <f t="shared" si="136"/>
        <v>sub_attack = 0.00</v>
      </c>
      <c r="CY45" s="3" t="str">
        <f t="shared" si="137"/>
        <v>shore_bombardment = 0.00</v>
      </c>
      <c r="CZ45" s="3" t="str">
        <f t="shared" si="138"/>
        <v/>
      </c>
      <c r="DA45" s="3" t="str">
        <f t="shared" si="139"/>
        <v/>
      </c>
      <c r="DB45" s="3" t="str">
        <f t="shared" si="140"/>
        <v/>
      </c>
      <c r="DC45" s="3" t="str">
        <f t="shared" si="141"/>
        <v>is_sub = yes</v>
      </c>
      <c r="DD45" s="3" t="s">
        <v>0</v>
      </c>
      <c r="DZ45" s="3" t="str">
        <f t="shared" si="142"/>
        <v xml:space="preserve">submarine = {
active = no
air_attack = 0
air_defence = 0.5
build_cost_ic = 4.00
build_cost_manpower = 0.4
build_time = 240
completion_size = 1
default_morale = 0.35
default_organisation = 25
fuel_consumption = 0.58
max_strength = 100
maximum_speed = 8
officers = 0
on_completion = submarine_practical
priority = 3
radio_strength = 1
repair_cost_multiplier = 0.05
sprite = Submarine
supply_consumption = 0.30
type = naval
hull = 0.3
transport_capability = 0.00
range = 800.00
distance = 0.1
surface_detection = 2.00
air_detection = 1.00
sub_detection = 0
visibility = 7
sea_defence = 5.00
convoy_attack = 1.00
sea_attack = 1.5
sub_attack = 0.00
shore_bombardment = 0.00
is_sub = yes
}
</v>
      </c>
    </row>
    <row r="46" spans="1:130" s="3" customFormat="1" x14ac:dyDescent="0.25">
      <c r="A46" s="2" t="str">
        <f t="shared" ca="1" si="99"/>
        <v>C:\Program Files (x86)\Paradox Interactive\Hearts of Iron III\tfh\mod\ww1tfh\units\transport.txt</v>
      </c>
      <c r="B46" s="3" t="s">
        <v>306</v>
      </c>
      <c r="C46" s="5" t="s">
        <v>62</v>
      </c>
      <c r="D46" s="6">
        <v>0</v>
      </c>
      <c r="E46" s="6">
        <v>0</v>
      </c>
      <c r="F46" s="5" t="s">
        <v>129</v>
      </c>
      <c r="G46" s="5" t="s">
        <v>115</v>
      </c>
      <c r="H46" s="5" t="s">
        <v>371</v>
      </c>
      <c r="I46" s="5" t="s">
        <v>196</v>
      </c>
      <c r="J46" s="5" t="s">
        <v>366</v>
      </c>
      <c r="K46" s="5" t="s">
        <v>372</v>
      </c>
      <c r="L46" s="5" t="s">
        <v>338</v>
      </c>
      <c r="M46" s="5" t="s">
        <v>137</v>
      </c>
      <c r="N46" s="6">
        <v>12</v>
      </c>
      <c r="O46" s="5" t="s">
        <v>133</v>
      </c>
      <c r="P46" s="5" t="s">
        <v>325</v>
      </c>
      <c r="Q46" s="5" t="s">
        <v>102</v>
      </c>
      <c r="R46" s="5" t="s">
        <v>102</v>
      </c>
      <c r="S46" s="5" t="s">
        <v>113</v>
      </c>
      <c r="T46" s="5" t="s">
        <v>373</v>
      </c>
      <c r="U46" s="5" t="s">
        <v>241</v>
      </c>
      <c r="V46" s="5" t="s">
        <v>327</v>
      </c>
      <c r="W46" s="5" t="s">
        <v>159</v>
      </c>
      <c r="X46" s="6">
        <v>0.6</v>
      </c>
      <c r="Y46" s="5" t="s">
        <v>62</v>
      </c>
      <c r="Z46" s="5" t="s">
        <v>62</v>
      </c>
      <c r="AA46" s="5" t="s">
        <v>62</v>
      </c>
      <c r="AB46" s="5" t="s">
        <v>374</v>
      </c>
      <c r="AC46" s="5" t="s">
        <v>375</v>
      </c>
      <c r="AD46" s="5">
        <v>0.1</v>
      </c>
      <c r="AE46" s="5" t="s">
        <v>106</v>
      </c>
      <c r="AF46" s="5" t="s">
        <v>106</v>
      </c>
      <c r="AG46" s="6">
        <v>0</v>
      </c>
      <c r="AH46" s="5" t="s">
        <v>340</v>
      </c>
      <c r="AI46" s="5" t="s">
        <v>106</v>
      </c>
      <c r="AJ46" s="5" t="s">
        <v>106</v>
      </c>
      <c r="AK46" s="11">
        <f t="shared" si="143"/>
        <v>0</v>
      </c>
      <c r="AL46" s="5" t="s">
        <v>106</v>
      </c>
      <c r="AM46" s="5" t="s">
        <v>106</v>
      </c>
      <c r="AN46" s="5" t="s">
        <v>62</v>
      </c>
      <c r="AO46" s="5" t="s">
        <v>62</v>
      </c>
      <c r="AP46" s="5" t="s">
        <v>62</v>
      </c>
      <c r="AQ46" s="5" t="s">
        <v>62</v>
      </c>
      <c r="BN46" s="3" t="str">
        <f>B46&amp;"_ship = {"</f>
        <v>transport_ship = {</v>
      </c>
      <c r="BO46" s="3" t="str">
        <f t="shared" si="101"/>
        <v/>
      </c>
      <c r="BP46" s="3" t="str">
        <f t="shared" si="102"/>
        <v>air_attack = 0</v>
      </c>
      <c r="BQ46" s="3" t="str">
        <f t="shared" si="103"/>
        <v>air_defence = 0</v>
      </c>
      <c r="BR46" s="3" t="str">
        <f t="shared" si="104"/>
        <v>build_cost_ic = 5.00</v>
      </c>
      <c r="BS46" s="3" t="str">
        <f t="shared" si="105"/>
        <v>build_cost_manpower = 1.00</v>
      </c>
      <c r="BT46" s="3" t="str">
        <f t="shared" si="106"/>
        <v>build_time = 90</v>
      </c>
      <c r="BU46" s="3" t="str">
        <f t="shared" si="107"/>
        <v>completion_size = 0.5</v>
      </c>
      <c r="BV46" s="3" t="str">
        <f t="shared" si="108"/>
        <v>default_morale = 0.20</v>
      </c>
      <c r="BW46" s="3" t="str">
        <f t="shared" si="109"/>
        <v>default_organisation = 20</v>
      </c>
      <c r="BX46" s="3" t="str">
        <f t="shared" si="110"/>
        <v>fuel_consumption = 1.15</v>
      </c>
      <c r="BY46" s="3" t="str">
        <f t="shared" si="111"/>
        <v>max_strength = 100</v>
      </c>
      <c r="BZ46" s="3" t="str">
        <f t="shared" si="112"/>
        <v>maximum_speed = 12</v>
      </c>
      <c r="CA46" s="3" t="str">
        <f t="shared" si="113"/>
        <v>officers = 0</v>
      </c>
      <c r="CB46" s="3" t="str">
        <f t="shared" si="114"/>
        <v>on_completion = transport_practical</v>
      </c>
      <c r="CC46" s="3" t="str">
        <f t="shared" si="115"/>
        <v>priority = 1</v>
      </c>
      <c r="CD46" s="3" t="str">
        <f t="shared" si="116"/>
        <v>radio_strength = 1</v>
      </c>
      <c r="CE46" s="3" t="str">
        <f t="shared" si="117"/>
        <v>repair_cost_multiplier = 0.05</v>
      </c>
      <c r="CF46" s="3" t="str">
        <f t="shared" si="118"/>
        <v>sprite = Transportship</v>
      </c>
      <c r="CG46" s="3" t="str">
        <f t="shared" si="119"/>
        <v>supply_consumption = 0.30</v>
      </c>
      <c r="CH46" s="3" t="str">
        <f t="shared" si="120"/>
        <v>type = naval</v>
      </c>
      <c r="CI46" s="3" t="str">
        <f t="shared" si="121"/>
        <v>transport = yes</v>
      </c>
      <c r="CJ46" s="3" t="str">
        <f t="shared" si="122"/>
        <v>hull = 0.6</v>
      </c>
      <c r="CK46" s="3" t="str">
        <f t="shared" si="123"/>
        <v/>
      </c>
      <c r="CL46" s="3" t="str">
        <f t="shared" si="124"/>
        <v/>
      </c>
      <c r="CM46" s="3" t="str">
        <f t="shared" si="125"/>
        <v/>
      </c>
      <c r="CN46" s="3" t="str">
        <f t="shared" si="126"/>
        <v>transport_capability = 40.00</v>
      </c>
      <c r="CO46" s="3" t="str">
        <f t="shared" si="127"/>
        <v>range = 3000.00</v>
      </c>
      <c r="CP46" s="3" t="str">
        <f t="shared" si="128"/>
        <v>distance = 0.1</v>
      </c>
      <c r="CQ46" s="3" t="str">
        <f t="shared" si="129"/>
        <v>surface_detection = 0.00</v>
      </c>
      <c r="CR46" s="3" t="str">
        <f t="shared" si="130"/>
        <v>air_detection = 0.00</v>
      </c>
      <c r="CS46" s="3" t="str">
        <f t="shared" si="131"/>
        <v>sub_detection = 0</v>
      </c>
      <c r="CT46" s="3" t="str">
        <f t="shared" si="132"/>
        <v>visibility = 90.00</v>
      </c>
      <c r="CU46" s="3" t="str">
        <f t="shared" si="133"/>
        <v>sea_defence = 0.00</v>
      </c>
      <c r="CV46" s="3" t="str">
        <f t="shared" si="134"/>
        <v>convoy_attack = 0.00</v>
      </c>
      <c r="CW46" s="3" t="str">
        <f t="shared" si="135"/>
        <v>sea_attack = 0</v>
      </c>
      <c r="CX46" s="3" t="str">
        <f t="shared" si="136"/>
        <v>sub_attack = 0.00</v>
      </c>
      <c r="CY46" s="3" t="str">
        <f t="shared" si="137"/>
        <v>shore_bombardment = 0.00</v>
      </c>
      <c r="CZ46" s="3" t="str">
        <f t="shared" si="138"/>
        <v/>
      </c>
      <c r="DA46" s="3" t="str">
        <f t="shared" si="139"/>
        <v/>
      </c>
      <c r="DB46" s="3" t="str">
        <f t="shared" si="140"/>
        <v/>
      </c>
      <c r="DC46" s="3" t="str">
        <f t="shared" si="141"/>
        <v/>
      </c>
      <c r="DD46" s="3" t="s">
        <v>0</v>
      </c>
      <c r="DZ46" s="3" t="str">
        <f t="shared" si="142"/>
        <v xml:space="preserve">transport_ship = {
air_attack = 0
air_defence = 0
build_cost_ic = 5.00
build_cost_manpower = 1.00
build_time = 90
completion_size = 0.5
default_morale = 0.20
default_organisation = 20
fuel_consumption = 1.15
max_strength = 100
maximum_speed = 12
officers = 0
on_completion = transport_practical
priority = 1
radio_strength = 1
repair_cost_multiplier = 0.05
sprite = Transportship
supply_consumption = 0.30
type = naval
transport = yes
hull = 0.6
transport_capability = 40.00
range = 3000.00
distance = 0.1
surface_detection = 0.00
air_detection = 0.00
sub_detection = 0
visibility = 90.00
sea_defence = 0.00
convoy_attack = 0.00
sea_attack = 0
sub_attack = 0.00
shore_bombardment = 0.00
}
</v>
      </c>
    </row>
    <row r="47" spans="1:130" s="3" customFormat="1" x14ac:dyDescent="0.25">
      <c r="A47" s="2" t="str">
        <f t="shared" ca="1" si="99"/>
        <v>C:\Program Files (x86)\Paradox Interactive\Hearts of Iron III\tfh\mod\ww1tfh\units\dreadnaught.txt</v>
      </c>
      <c r="B47" s="3" t="s">
        <v>307</v>
      </c>
      <c r="C47" s="5" t="s">
        <v>90</v>
      </c>
      <c r="D47" s="6">
        <v>0</v>
      </c>
      <c r="E47" s="6">
        <v>2</v>
      </c>
      <c r="F47" s="5">
        <v>6.3</v>
      </c>
      <c r="G47" s="5" t="s">
        <v>147</v>
      </c>
      <c r="H47" s="5">
        <v>608</v>
      </c>
      <c r="I47" s="5">
        <v>2.2000000000000002</v>
      </c>
      <c r="J47" s="5" t="s">
        <v>241</v>
      </c>
      <c r="K47" s="5" t="s">
        <v>264</v>
      </c>
      <c r="L47" s="5">
        <v>1.38</v>
      </c>
      <c r="M47" s="5" t="s">
        <v>137</v>
      </c>
      <c r="N47" s="6">
        <v>16</v>
      </c>
      <c r="O47" s="5" t="s">
        <v>133</v>
      </c>
      <c r="P47" s="5" t="s">
        <v>332</v>
      </c>
      <c r="Q47" s="5">
        <v>10</v>
      </c>
      <c r="R47" s="5" t="s">
        <v>321</v>
      </c>
      <c r="S47" s="5" t="s">
        <v>113</v>
      </c>
      <c r="T47" s="5" t="s">
        <v>339</v>
      </c>
      <c r="U47" s="5">
        <v>0.8</v>
      </c>
      <c r="V47" s="5" t="s">
        <v>327</v>
      </c>
      <c r="W47" s="5" t="s">
        <v>62</v>
      </c>
      <c r="X47" s="6">
        <v>1.1000000000000001</v>
      </c>
      <c r="Y47" s="5" t="s">
        <v>62</v>
      </c>
      <c r="Z47" s="5" t="s">
        <v>62</v>
      </c>
      <c r="AA47" s="5" t="s">
        <v>62</v>
      </c>
      <c r="AB47" s="5" t="s">
        <v>106</v>
      </c>
      <c r="AC47" s="5">
        <v>4000</v>
      </c>
      <c r="AD47" s="5">
        <v>0.18</v>
      </c>
      <c r="AE47" s="5" t="s">
        <v>115</v>
      </c>
      <c r="AF47" s="5" t="s">
        <v>115</v>
      </c>
      <c r="AG47" s="6">
        <v>0</v>
      </c>
      <c r="AH47" s="5">
        <v>100</v>
      </c>
      <c r="AI47" s="5">
        <v>4</v>
      </c>
      <c r="AJ47" s="5" t="s">
        <v>370</v>
      </c>
      <c r="AK47" s="11">
        <f t="shared" si="143"/>
        <v>16.5</v>
      </c>
      <c r="AL47" s="5" t="s">
        <v>106</v>
      </c>
      <c r="AM47" s="5" t="s">
        <v>277</v>
      </c>
      <c r="AN47" s="5" t="s">
        <v>159</v>
      </c>
      <c r="AO47" s="5" t="s">
        <v>159</v>
      </c>
      <c r="AP47" s="5" t="s">
        <v>62</v>
      </c>
      <c r="AQ47" s="5" t="s">
        <v>62</v>
      </c>
      <c r="BN47" s="3" t="str">
        <f>B47&amp;" = {"</f>
        <v>dreadnaught = {</v>
      </c>
      <c r="BO47" s="3" t="str">
        <f t="shared" si="101"/>
        <v>active = no</v>
      </c>
      <c r="BP47" s="3" t="str">
        <f t="shared" si="102"/>
        <v>air_attack = 0</v>
      </c>
      <c r="BQ47" s="3" t="str">
        <f t="shared" si="103"/>
        <v>air_defence = 2</v>
      </c>
      <c r="BR47" s="3" t="str">
        <f t="shared" si="104"/>
        <v>build_cost_ic = 6.3</v>
      </c>
      <c r="BS47" s="3" t="str">
        <f t="shared" si="105"/>
        <v>build_cost_manpower = 3.00</v>
      </c>
      <c r="BT47" s="3" t="str">
        <f t="shared" si="106"/>
        <v>build_time = 608</v>
      </c>
      <c r="BU47" s="3" t="str">
        <f t="shared" si="107"/>
        <v>completion_size = 2.2</v>
      </c>
      <c r="BV47" s="3" t="str">
        <f t="shared" si="108"/>
        <v>default_morale = 0.30</v>
      </c>
      <c r="BW47" s="3" t="str">
        <f t="shared" si="109"/>
        <v>default_organisation = 30</v>
      </c>
      <c r="BX47" s="3" t="str">
        <f t="shared" si="110"/>
        <v>fuel_consumption = 1.38</v>
      </c>
      <c r="BY47" s="3" t="str">
        <f t="shared" si="111"/>
        <v>max_strength = 100</v>
      </c>
      <c r="BZ47" s="3" t="str">
        <f t="shared" si="112"/>
        <v>maximum_speed = 16</v>
      </c>
      <c r="CA47" s="3" t="str">
        <f t="shared" si="113"/>
        <v>officers = 0</v>
      </c>
      <c r="CB47" s="3" t="str">
        <f t="shared" si="114"/>
        <v>on_completion = capitalship_practical</v>
      </c>
      <c r="CC47" s="3" t="str">
        <f t="shared" si="115"/>
        <v>priority = 10</v>
      </c>
      <c r="CD47" s="3" t="str">
        <f t="shared" si="116"/>
        <v>radio_strength = 1.25</v>
      </c>
      <c r="CE47" s="3" t="str">
        <f t="shared" si="117"/>
        <v>repair_cost_multiplier = 0.05</v>
      </c>
      <c r="CF47" s="3" t="str">
        <f t="shared" si="118"/>
        <v>sprite = Battleship</v>
      </c>
      <c r="CG47" s="3" t="str">
        <f t="shared" si="119"/>
        <v>supply_consumption = 0.8</v>
      </c>
      <c r="CH47" s="3" t="str">
        <f t="shared" si="120"/>
        <v>type = naval</v>
      </c>
      <c r="CI47" s="3" t="str">
        <f t="shared" si="121"/>
        <v/>
      </c>
      <c r="CJ47" s="3" t="str">
        <f t="shared" si="122"/>
        <v>hull = 1.1</v>
      </c>
      <c r="CK47" s="3" t="str">
        <f t="shared" si="123"/>
        <v/>
      </c>
      <c r="CL47" s="3" t="str">
        <f t="shared" si="124"/>
        <v/>
      </c>
      <c r="CM47" s="3" t="str">
        <f t="shared" si="125"/>
        <v/>
      </c>
      <c r="CN47" s="3" t="str">
        <f t="shared" si="126"/>
        <v>transport_capability = 0.00</v>
      </c>
      <c r="CO47" s="3" t="str">
        <f t="shared" si="127"/>
        <v>range = 4000</v>
      </c>
      <c r="CP47" s="3" t="str">
        <f t="shared" si="128"/>
        <v>distance = 0.18</v>
      </c>
      <c r="CQ47" s="3" t="str">
        <f t="shared" si="129"/>
        <v>surface_detection = 1.00</v>
      </c>
      <c r="CR47" s="3" t="str">
        <f t="shared" si="130"/>
        <v>air_detection = 1.00</v>
      </c>
      <c r="CS47" s="3" t="str">
        <f t="shared" si="131"/>
        <v>sub_detection = 0</v>
      </c>
      <c r="CT47" s="3" t="str">
        <f t="shared" si="132"/>
        <v>visibility = 100</v>
      </c>
      <c r="CU47" s="3" t="str">
        <f t="shared" si="133"/>
        <v>sea_defence = 4</v>
      </c>
      <c r="CV47" s="3" t="str">
        <f t="shared" si="134"/>
        <v>convoy_attack = 22.00</v>
      </c>
      <c r="CW47" s="3" t="str">
        <f t="shared" si="135"/>
        <v>sea_attack = 16.5</v>
      </c>
      <c r="CX47" s="3" t="str">
        <f t="shared" si="136"/>
        <v>sub_attack = 0.00</v>
      </c>
      <c r="CY47" s="3" t="str">
        <f t="shared" si="137"/>
        <v>shore_bombardment = 14.00</v>
      </c>
      <c r="CZ47" s="3" t="str">
        <f t="shared" si="138"/>
        <v>capital = yes</v>
      </c>
      <c r="DA47" s="3" t="str">
        <f t="shared" si="139"/>
        <v>can_be_pride = yes</v>
      </c>
      <c r="DB47" s="3" t="str">
        <f t="shared" si="140"/>
        <v/>
      </c>
      <c r="DC47" s="3" t="str">
        <f t="shared" si="141"/>
        <v/>
      </c>
      <c r="DD47" s="3" t="s">
        <v>0</v>
      </c>
      <c r="DZ47" s="3" t="str">
        <f t="shared" si="142"/>
        <v xml:space="preserve">dreadnaught = {
active = no
air_attack = 0
air_defence = 2
build_cost_ic = 6.3
build_cost_manpower = 3.00
build_time = 608
completion_size = 2.2
default_morale = 0.30
default_organisation = 30
fuel_consumption = 1.38
max_strength = 100
maximum_speed = 16
officers = 0
on_completion = capitalship_practical
priority = 10
radio_strength = 1.25
repair_cost_multiplier = 0.05
sprite = Battleship
supply_consumption = 0.8
type = naval
hull = 1.1
transport_capability = 0.00
range = 4000
distance = 0.18
surface_detection = 1.00
air_detection = 1.00
sub_detection = 0
visibility = 100
sea_defence = 4
convoy_attack = 22.00
sea_attack = 16.5
sub_attack = 0.00
shore_bombardment = 14.00
capital = yes
can_be_pride = yes
}
</v>
      </c>
    </row>
    <row r="50" spans="37:37" x14ac:dyDescent="0.25">
      <c r="AK50" s="2" t="s">
        <v>106</v>
      </c>
    </row>
    <row r="51" spans="37:37" x14ac:dyDescent="0.25">
      <c r="AK51" s="2" t="s">
        <v>336</v>
      </c>
    </row>
    <row r="52" spans="37:37" x14ac:dyDescent="0.25">
      <c r="AK52" s="2">
        <v>15</v>
      </c>
    </row>
    <row r="53" spans="37:37" x14ac:dyDescent="0.25">
      <c r="AK53" s="2" t="s">
        <v>106</v>
      </c>
    </row>
    <row r="54" spans="37:37" x14ac:dyDescent="0.25">
      <c r="AK54" s="2" t="s">
        <v>147</v>
      </c>
    </row>
    <row r="55" spans="37:37" x14ac:dyDescent="0.25">
      <c r="AK55" s="2" t="s">
        <v>106</v>
      </c>
    </row>
    <row r="56" spans="37:37" x14ac:dyDescent="0.25">
      <c r="AK56" s="2" t="s">
        <v>212</v>
      </c>
    </row>
    <row r="57" spans="37:37" x14ac:dyDescent="0.25">
      <c r="AK57" s="2" t="s">
        <v>106</v>
      </c>
    </row>
    <row r="58" spans="37:37" x14ac:dyDescent="0.25">
      <c r="AK58" s="2" t="s">
        <v>129</v>
      </c>
    </row>
    <row r="59" spans="37:37" x14ac:dyDescent="0.25">
      <c r="AK59" s="2" t="s">
        <v>135</v>
      </c>
    </row>
    <row r="60" spans="37:37" x14ac:dyDescent="0.25">
      <c r="AK60" s="2" t="s">
        <v>106</v>
      </c>
    </row>
    <row r="61" spans="37:37" x14ac:dyDescent="0.25">
      <c r="AK61" s="2">
        <v>22</v>
      </c>
    </row>
  </sheetData>
  <pageMargins left="0.75" right="0.75" top="1" bottom="1" header="0.5" footer="0.5"/>
  <pageSetup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C21" sqref="C21"/>
    </sheetView>
  </sheetViews>
  <sheetFormatPr defaultRowHeight="15.75" x14ac:dyDescent="0.25"/>
  <sheetData>
    <row r="2" spans="2:3" x14ac:dyDescent="0.25">
      <c r="B2">
        <v>1</v>
      </c>
      <c r="C2" t="s">
        <v>377</v>
      </c>
    </row>
    <row r="3" spans="2:3" x14ac:dyDescent="0.25">
      <c r="B3">
        <v>2</v>
      </c>
      <c r="C3" t="s">
        <v>378</v>
      </c>
    </row>
    <row r="4" spans="2:3" x14ac:dyDescent="0.25">
      <c r="B4">
        <v>3</v>
      </c>
      <c r="C4" t="s">
        <v>379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Output">
                <anchor moveWithCells="1" sizeWithCells="1">
                  <from>
                    <xdr:col>2</xdr:col>
                    <xdr:colOff>114300</xdr:colOff>
                    <xdr:row>4</xdr:row>
                    <xdr:rowOff>47625</xdr:rowOff>
                  </from>
                  <to>
                    <xdr:col>4</xdr:col>
                    <xdr:colOff>600075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Third</dc:creator>
  <cp:lastModifiedBy>David</cp:lastModifiedBy>
  <dcterms:created xsi:type="dcterms:W3CDTF">2012-12-24T01:02:44Z</dcterms:created>
  <dcterms:modified xsi:type="dcterms:W3CDTF">2013-08-03T01:36:46Z</dcterms:modified>
</cp:coreProperties>
</file>
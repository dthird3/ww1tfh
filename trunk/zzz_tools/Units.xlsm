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concurrentCalc="0"/>
</workbook>
</file>

<file path=xl/calcChain.xml><?xml version="1.0" encoding="utf-8"?>
<calcChain xmlns="http://schemas.openxmlformats.org/spreadsheetml/2006/main">
  <c r="AK47" i="11" l="1"/>
  <c r="AK46" i="11"/>
  <c r="AK45" i="11"/>
  <c r="AK44" i="11"/>
  <c r="AK43" i="11"/>
  <c r="AK42" i="11"/>
  <c r="AK41" i="11"/>
  <c r="AK40" i="11"/>
  <c r="AK39" i="11"/>
  <c r="AK38" i="11"/>
  <c r="AK36" i="11"/>
  <c r="CT33" i="1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3" i="11"/>
  <c r="A32" i="11"/>
  <c r="A31" i="11"/>
  <c r="A30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DZ47" i="11"/>
  <c r="BN46" i="11"/>
  <c r="DZ46" i="11"/>
  <c r="BN45" i="11"/>
  <c r="DZ45" i="11"/>
  <c r="BN44" i="11"/>
  <c r="DZ44" i="11"/>
  <c r="BN43" i="11"/>
  <c r="DZ43" i="11"/>
  <c r="BN42" i="11"/>
  <c r="DZ42" i="11"/>
  <c r="BN41" i="11"/>
  <c r="DZ41" i="11"/>
  <c r="BN40" i="11"/>
  <c r="DZ40" i="11"/>
  <c r="BN39" i="11"/>
  <c r="DZ39" i="11"/>
  <c r="BN38" i="11"/>
  <c r="DZ38" i="11"/>
  <c r="BN37" i="11"/>
  <c r="DZ37" i="11"/>
  <c r="BN36" i="11"/>
  <c r="DZ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A2" i="11"/>
  <c r="DZ27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<sst xmlns="http://schemas.openxmlformats.org/spreadsheetml/2006/main" count="2023" uniqueCount="384">
  <si>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</si>
  <si>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</si>
  <si>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</si>
  <si>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</si>
  <si>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</si>
  <si>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</si>
  <si>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</si>
  <si>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</si>
  <si>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</si>
  <si>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</si>
  <si>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</si>
  <si>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</si>
  <si>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</si>
  <si>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</si>
  <si>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</si>
  <si>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</si>
  <si>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</si>
  <si>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</si>
  <si>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</si>
  <si>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</si>
  <si>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</si>
  <si>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</si>
  <si>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</si>
  <si>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</si>
  <si>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</si>
  <si>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</si>
  <si>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</si>
  <si>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</si>
  <si>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</si>
  <si>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</si>
  <si>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</si>
  <si>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</si>
  <si>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</si>
  <si>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</si>
  <si>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</si>
  <si>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</si>
  <si>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</si>
  <si>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</si>
  <si>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</si>
  <si>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</si>
  <si>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</si>
  <si>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</si>
  <si>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</si>
  <si>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</si>
  <si>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</si>
  <si>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</si>
  <si>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</si>
  <si>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</si>
  <si>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</si>
  <si>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</si>
  <si>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</si>
  <si>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</si>
  <si>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</si>
  <si>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</si>
  <si>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</si>
  <si>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</si>
  <si>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</si>
  <si>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</si>
  <si>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</si>
  <si>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</si>
  <si>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</si>
  <si>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</si>
  <si>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</si>
  <si>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</si>
  <si>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</si>
  <si>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</si>
  <si>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</si>
  <si>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</si>
  <si>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</si>
  <si>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</si>
  <si>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</si>
  <si>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</si>
  <si>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</si>
  <si>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</si>
  <si>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</si>
  <si>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</si>
  <si>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</si>
  <si>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</si>
  <si>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</si>
  <si>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</si>
  <si>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</si>
  <si>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</si>
  <si>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</si>
  <si>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</si>
  <si>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</si>
  <si>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</si>
  <si>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</si>
  <si>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</si>
  <si>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</si>
  <si>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</si>
  <si>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</si>
  <si>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</si>
  <si>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</si>
  <si>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</si>
  <si>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</si>
  <si>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</si>
  <si>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</si>
  <si>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</si>
  <si>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</si>
  <si>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</si>
  <si>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</si>
  <si>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</si>
  <si>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</si>
  <si>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</si>
  <si>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</si>
  <si>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</si>
  <si>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</si>
  <si>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</si>
  <si>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</si>
  <si>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</si>
  <si>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</si>
  <si>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</si>
  <si>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</si>
  <si>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</si>
  <si>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</si>
  <si>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</si>
  <si>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</si>
  <si>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</si>
  <si>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</si>
  <si>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</si>
  <si>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</si>
  <si>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</si>
  <si>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</si>
  <si>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</si>
  <si>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</si>
  <si>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</si>
  <si>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</si>
  <si>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</si>
  <si>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</si>
  <si>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</si>
  <si>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</si>
  <si>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</si>
  <si>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</si>
  <si>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</si>
  <si>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</si>
  <si>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</si>
  <si>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</si>
  <si>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</si>
  <si>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</si>
  <si>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</si>
  <si>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</si>
  <si>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</si>
  <si>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</si>
  <si>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</si>
  <si>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</si>
  <si>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</si>
  <si>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</si>
  <si>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</si>
  <si>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</si>
  <si>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</si>
  <si>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</si>
  <si>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</si>
  <si>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</si>
  <si>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</si>
  <si>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</si>
  <si>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</si>
  <si>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</si>
  <si>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</si>
  <si>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</si>
  <si>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</si>
  <si>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</si>
  <si>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</si>
  <si>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</si>
  <si>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</si>
  <si>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</si>
  <si>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</si>
  <si>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</si>
  <si>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</si>
  <si>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</si>
  <si>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</si>
  <si>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</si>
  <si>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</si>
  <si>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</si>
  <si>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</si>
  <si>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</si>
  <si>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</si>
  <si>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</si>
  <si>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</si>
  <si>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</si>
  <si>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</si>
  <si>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</si>
  <si>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</si>
  <si>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</si>
  <si>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</si>
  <si>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</si>
  <si>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</si>
  <si>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</si>
  <si>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</si>
  <si>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</si>
  <si>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</si>
  <si>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</si>
  <si>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</si>
  <si>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</si>
  <si>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</si>
  <si>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</si>
  <si>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</si>
  <si>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</si>
  <si>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</si>
  <si>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</si>
  <si>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</si>
  <si>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</si>
  <si>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</si>
  <si>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</si>
  <si>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</si>
  <si>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</si>
  <si>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</si>
  <si>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</si>
  <si>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</si>
  <si>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</si>
  <si>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</si>
  <si>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</si>
  <si>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</si>
  <si>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</si>
  <si>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</si>
  <si>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</si>
  <si>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</si>
  <si>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</si>
  <si>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</si>
  <si>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</si>
  <si>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</si>
  <si>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</si>
  <si>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</si>
  <si>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</si>
  <si>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</si>
  <si>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</si>
  <si>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</si>
  <si>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</si>
  <si>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</si>
  <si>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</si>
  <si>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</si>
  <si>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</si>
  <si>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</si>
  <si>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</si>
  <si>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</si>
  <si>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</si>
  <si>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</si>
  <si>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</si>
  <si>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</si>
  <si>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</si>
  <si>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</si>
  <si>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</si>
  <si>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</si>
  <si>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</si>
  <si>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</si>
  <si>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</si>
  <si>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</si>
  <si>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</si>
  <si>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</si>
  <si>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</si>
  <si>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</si>
  <si>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</si>
  <si>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</si>
  <si>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</si>
  <si>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</si>
  <si>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</si>
  <si>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</si>
  <si>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</si>
  <si>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</si>
  <si>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</si>
  <si>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</si>
  <si>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</si>
  <si>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</si>
  <si>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</si>
  <si>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</si>
  <si>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</si>
  <si>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</si>
  <si>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</si>
  <si>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</si>
  <si>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</si>
  <si>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</si>
  <si>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</si>
  <si>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</si>
  <si>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</si>
  <si>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</si>
  <si>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</si>
  <si>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</si>
  <si>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</si>
  <si>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</si>
  <si>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</si>
  <si>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</si>
  <si>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</si>
  <si>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</si>
  <si>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</si>
  <si>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</si>
  <si>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</si>
  <si>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</si>
  <si>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</si>
  <si>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</si>
  <si>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</si>
  <si>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</si>
  <si>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</si>
  <si>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</si>
  <si>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</si>
  <si>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</si>
  <si>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</si>
  <si>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</si>
  <si>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</si>
  <si>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</si>
  <si>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</si>
  <si>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</si>
  <si>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</si>
  <si>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</si>
  <si>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</si>
  <si>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</si>
  <si>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</si>
  <si>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</si>
  <si>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</si>
  <si>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</si>
  <si>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</si>
  <si>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</si>
  <si>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</si>
  <si>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</si>
  <si>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</si>
  <si>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</si>
  <si>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</si>
  <si>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</si>
  <si>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</si>
  <si>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</si>
  <si>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</si>
  <si>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</si>
  <si>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</si>
  <si>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</si>
  <si>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</si>
  <si>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</si>
  <si>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</si>
  <si>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</si>
  <si>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</si>
  <si>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</si>
  <si>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</si>
  <si>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</si>
  <si>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</si>
  <si>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</si>
  <si>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</si>
  <si>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</si>
  <si>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</si>
  <si>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</si>
  <si>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</si>
  <si>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</si>
  <si>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</si>
  <si>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</si>
  <si>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0.32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</si>
  <si>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</si>
  <si>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</si>
  <si>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</si>
  <si>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</si>
  <si>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</si>
  <si>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</si>
  <si>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</si>
  <si>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</si>
  <si>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</si>
  <si>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</si>
  <si>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</si>
  <si>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</si>
  <si>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0.14</t>
  </si>
  <si>
    <t>50.00</t>
  </si>
  <si>
    <t>1.1</t>
  </si>
  <si>
    <t>2000.00</t>
  </si>
  <si>
    <t>0.58</t>
  </si>
  <si>
    <t>cruiser_practical</t>
  </si>
  <si>
    <t>HeavyCruiser</t>
  </si>
  <si>
    <t>0.40</t>
  </si>
  <si>
    <t>0.24</t>
  </si>
  <si>
    <t>70.00</t>
  </si>
  <si>
    <t>LCTLandingcraft</t>
  </si>
  <si>
    <t>0.43</t>
  </si>
  <si>
    <t>LightCruiser</t>
  </si>
  <si>
    <t>0.36</t>
  </si>
  <si>
    <t>0.18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</si>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</sst>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2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164" fontId="0" fillId="2" borderId="0" xfId="0" applyNumberFormat="1" applyFill="1"/>
  </cellXfs>
  <cellStyles count="72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D2" activePane="bottomRight" state="frozen"/>
      <selection pane="topRight" activeCell="D1" sqref="D1"/>
      <selection pane="bottomLeft" activeCell="A2" sqref="A2"/>
      <selection pane="bottomRight" activeCell="DZ47" sqref="DZ47"/>
    </sheetView>
  </sheetViews>
  <sheetFormatPr defaultColWidth="11" defaultRowHeight="15.75" x14ac:dyDescent="0.25"/>
  <cols>
    <col min="1" max="1" width="89.2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>"C:\Program Files (x86)\Paradox Interactive\Hearts of Iron III\tfh\mod\WW1Mod_v0.5\units\"&amp;B2&amp;".txt"</f>
        <v>C:\Program Files (x86)\Paradox Interactive\Hearts of Iron III\tfh\mod\WW1Mod_v0.5\units\Alpini_brigade.txt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62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/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>
        <v>0</v>
      </c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1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>can_paradrop = 0</v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1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can_paradrop = 0
combat_width = 0
completion_size = 0.5
default_morale = 0.25
default_organisation = 20
defensiveness = 1
fort = {
attack = 0.60
}
fuel_consumption = 0.00
hard_attack = 1.00
max_strength = 20
maximum_speed = 1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380</v>
      </c>
      <c r="AB36" s="5" t="s">
        <v>328</v>
      </c>
      <c r="AC36" s="5" t="s">
        <v>329</v>
      </c>
      <c r="AD36" s="5" t="s">
        <v>100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11">
        <f>AK50/2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0.10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0.10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 t="s">
        <v>241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11">
        <v>8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0.30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8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0.30
surface_detection = 1.00
air_detection = 1.00
sub_detection = 0
visibility = 80.00
sea_defence = 5.00
convoy_attack = 14.00
sea_attack = 8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 t="s">
        <v>340</v>
      </c>
      <c r="AE38" s="5" t="s">
        <v>115</v>
      </c>
      <c r="AF38" s="5" t="s">
        <v>115</v>
      </c>
      <c r="AG38" s="6">
        <v>0</v>
      </c>
      <c r="AH38" s="5" t="s">
        <v>341</v>
      </c>
      <c r="AI38" s="5" t="s">
        <v>147</v>
      </c>
      <c r="AJ38" s="5" t="s">
        <v>336</v>
      </c>
      <c r="AK38" s="11">
        <f t="shared" ref="AK37:AK47" si="143">AK52/2</f>
        <v>7.5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0.32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7.5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0.32
surface_detection = 1.00
air_detection = 1.00
sub_detection = 0
visibility = 90.00
sea_defence = 3.00
convoy_attack = 12.00
sea_attack = 7.5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342</v>
      </c>
      <c r="G39" s="5" t="s">
        <v>101</v>
      </c>
      <c r="H39" s="5" t="s">
        <v>343</v>
      </c>
      <c r="I39" s="5" t="s">
        <v>344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345</v>
      </c>
      <c r="Q39" s="5">
        <v>11</v>
      </c>
      <c r="R39" s="5" t="s">
        <v>321</v>
      </c>
      <c r="S39" s="5" t="s">
        <v>113</v>
      </c>
      <c r="T39" s="5" t="s">
        <v>346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 t="s">
        <v>115</v>
      </c>
      <c r="AE39" s="5" t="s">
        <v>115</v>
      </c>
      <c r="AF39" s="5" t="s">
        <v>135</v>
      </c>
      <c r="AG39" s="6">
        <v>0</v>
      </c>
      <c r="AH39" s="5" t="s">
        <v>347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1.00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1.00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349</v>
      </c>
      <c r="M40" s="5" t="s">
        <v>137</v>
      </c>
      <c r="N40" s="6">
        <v>20</v>
      </c>
      <c r="O40" s="5" t="s">
        <v>133</v>
      </c>
      <c r="P40" s="5" t="s">
        <v>350</v>
      </c>
      <c r="Q40" s="5" t="s">
        <v>179</v>
      </c>
      <c r="R40" s="5" t="s">
        <v>102</v>
      </c>
      <c r="S40" s="5" t="s">
        <v>113</v>
      </c>
      <c r="T40" s="5" t="s">
        <v>351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352</v>
      </c>
      <c r="AD40" s="5" t="s">
        <v>353</v>
      </c>
      <c r="AE40" s="5" t="s">
        <v>147</v>
      </c>
      <c r="AF40" s="5" t="s">
        <v>135</v>
      </c>
      <c r="AG40" s="6">
        <v>3</v>
      </c>
      <c r="AH40" s="5" t="s">
        <v>354</v>
      </c>
      <c r="AI40" s="5" t="s">
        <v>242</v>
      </c>
      <c r="AJ40" s="5" t="s">
        <v>135</v>
      </c>
      <c r="AK40" s="11">
        <f t="shared" si="143"/>
        <v>1.5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0.14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1.5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0.14
surface_detection = 3.00
air_detection = 2.00
sub_detection = 3
visibility = 50.00
sea_defence = 15.00
convoy_attack = 2.00
sea_attack = 1.5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348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345</v>
      </c>
      <c r="Q41" s="5" t="s">
        <v>232</v>
      </c>
      <c r="R41" s="5" t="s">
        <v>355</v>
      </c>
      <c r="S41" s="5" t="s">
        <v>113</v>
      </c>
      <c r="T41" s="5" t="s">
        <v>346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356</v>
      </c>
      <c r="AD41" s="5" t="s">
        <v>115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1.00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1.00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357</v>
      </c>
      <c r="M42" s="5" t="s">
        <v>137</v>
      </c>
      <c r="N42" s="6">
        <v>16</v>
      </c>
      <c r="O42" s="5" t="s">
        <v>133</v>
      </c>
      <c r="P42" s="5" t="s">
        <v>358</v>
      </c>
      <c r="Q42" s="5" t="s">
        <v>110</v>
      </c>
      <c r="R42" s="5" t="s">
        <v>102</v>
      </c>
      <c r="S42" s="5" t="s">
        <v>113</v>
      </c>
      <c r="T42" s="5" t="s">
        <v>359</v>
      </c>
      <c r="U42" s="5" t="s">
        <v>360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 t="s">
        <v>361</v>
      </c>
      <c r="AE42" s="5" t="s">
        <v>115</v>
      </c>
      <c r="AF42" s="5" t="s">
        <v>115</v>
      </c>
      <c r="AG42" s="6">
        <v>1</v>
      </c>
      <c r="AH42" s="5" t="s">
        <v>362</v>
      </c>
      <c r="AI42" s="5" t="s">
        <v>212</v>
      </c>
      <c r="AJ42" s="5" t="s">
        <v>201</v>
      </c>
      <c r="AK42" s="11">
        <f t="shared" si="143"/>
        <v>4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0.24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4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0.24
surface_detection = 1.00
air_detection = 1.00
sub_detection = 1
visibility = 70.00
sea_defence = 8.00
convoy_attack = 6.00
sea_attack = 4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363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 t="s">
        <v>100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0.10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0.10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364</v>
      </c>
      <c r="M44" s="5" t="s">
        <v>137</v>
      </c>
      <c r="N44" s="6">
        <v>18.399999999999999</v>
      </c>
      <c r="O44" s="5" t="s">
        <v>133</v>
      </c>
      <c r="P44" s="5" t="s">
        <v>358</v>
      </c>
      <c r="Q44" s="5" t="s">
        <v>146</v>
      </c>
      <c r="R44" s="5" t="s">
        <v>102</v>
      </c>
      <c r="S44" s="5" t="s">
        <v>113</v>
      </c>
      <c r="T44" s="5" t="s">
        <v>365</v>
      </c>
      <c r="U44" s="5" t="s">
        <v>366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356</v>
      </c>
      <c r="AD44" s="5" t="s">
        <v>367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11">
        <f t="shared" si="143"/>
        <v>2.5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0.18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2.5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0.18
surface_detection = 2.00
air_detection = 2.00
sub_detection = 2
visibility = 60.00
sea_defence = 12.00
convoy_attack = 3.00
sea_attack = 2.5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371</v>
      </c>
      <c r="I45" s="5" t="s">
        <v>102</v>
      </c>
      <c r="J45" s="5" t="s">
        <v>372</v>
      </c>
      <c r="K45" s="5" t="s">
        <v>373</v>
      </c>
      <c r="L45" s="5" t="s">
        <v>357</v>
      </c>
      <c r="M45" s="5" t="s">
        <v>137</v>
      </c>
      <c r="N45" s="6">
        <v>8</v>
      </c>
      <c r="O45" s="5" t="s">
        <v>133</v>
      </c>
      <c r="P45" s="5" t="s">
        <v>368</v>
      </c>
      <c r="Q45" s="5" t="s">
        <v>139</v>
      </c>
      <c r="R45" s="5" t="s">
        <v>102</v>
      </c>
      <c r="S45" s="5" t="s">
        <v>113</v>
      </c>
      <c r="T45" s="5" t="s">
        <v>369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 t="s">
        <v>161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0.15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0.15
surface_detection = 2.00
air_detection = 1.00
sub_detection = 0
visibility = 7
sea_defence = 5.00
convoy_attack = 1.00
sea_attack = 1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375</v>
      </c>
      <c r="I46" s="5" t="s">
        <v>196</v>
      </c>
      <c r="J46" s="5" t="s">
        <v>370</v>
      </c>
      <c r="K46" s="5" t="s">
        <v>376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377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378</v>
      </c>
      <c r="AC46" s="5" t="s">
        <v>379</v>
      </c>
      <c r="AD46" s="5" t="s">
        <v>100</v>
      </c>
      <c r="AE46" s="5" t="s">
        <v>106</v>
      </c>
      <c r="AF46" s="5" t="s">
        <v>106</v>
      </c>
      <c r="AG46" s="6">
        <v>0</v>
      </c>
      <c r="AH46" s="5" t="s">
        <v>341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0.10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0.10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 t="s">
        <v>176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374</v>
      </c>
      <c r="AK47" s="11">
        <f t="shared" si="143"/>
        <v>11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0.38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11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0.38
surface_detection = 1.00
air_detection = 1.00
sub_detection = 0
visibility = 100
sea_defence = 4
convoy_attack = 22.00
sea_attack = 11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336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12" sqref="D12"/>
    </sheetView>
  </sheetViews>
  <sheetFormatPr defaultRowHeight="15.75" x14ac:dyDescent="0.25"/>
  <sheetData>
    <row r="2" spans="2:3" x14ac:dyDescent="0.25">
      <c r="B2">
        <v>1</v>
      </c>
      <c r="C2" t="s">
        <v>381</v>
      </c>
    </row>
    <row r="3" spans="2:3" x14ac:dyDescent="0.25">
      <c r="B3">
        <v>2</v>
      </c>
      <c r="C3" t="s">
        <v>382</v>
      </c>
    </row>
    <row r="4" spans="2:3" x14ac:dyDescent="0.25">
      <c r="B4">
        <v>3</v>
      </c>
      <c r="C4" t="s">
        <v>383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2013-07-11T21:44:41Z</dcterms:modified>
</cp:coreProperties>
</file>
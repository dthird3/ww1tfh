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1850" yWindow="-165" windowWidth="29040" windowHeight="18180" tabRatio="500"/>
  </bookViews>
  <sheets>
    <sheet name="Data" sheetId="11" r:id="rId1"/>
    <sheet name="Instructions" sheetId="17" r:id="rId2"/>
  </sheets>
  <functionGroups builtInGroupCount="17"/>
  <calcPr calcId="145621" calcMode="manual"/>
</workbook>
</file>

<file path=xl/calcChain.xml><?xml version="1.0" encoding="utf-8"?>
<calcChain xmlns="http://schemas.openxmlformats.org/spreadsheetml/2006/main">
  <c r="X75" i="11" l="1"/>
  <c r="X76" i="11"/>
  <c r="X77" i="11"/>
  <c r="X78" i="11"/>
  <c r="X79" i="11"/>
  <c r="X80" i="11"/>
  <c r="X81" i="11"/>
  <c r="X83" i="11"/>
  <c r="X84" i="11"/>
  <c r="W75" i="11"/>
  <c r="W76" i="11"/>
  <c r="W77" i="11"/>
  <c r="W78" i="11"/>
  <c r="W79" i="11"/>
  <c r="W80" i="11"/>
  <c r="W81" i="11"/>
  <c r="W83" i="11"/>
  <c r="W84" i="11"/>
  <c r="W74" i="11"/>
  <c r="V75" i="11"/>
  <c r="V76" i="11"/>
  <c r="V77" i="11"/>
  <c r="V78" i="11"/>
  <c r="V79" i="11"/>
  <c r="V80" i="11"/>
  <c r="V81" i="11"/>
  <c r="V83" i="11"/>
  <c r="V84" i="11"/>
  <c r="U75" i="11"/>
  <c r="U76" i="11"/>
  <c r="U77" i="11"/>
  <c r="U78" i="11"/>
  <c r="U79" i="11"/>
  <c r="U80" i="11"/>
  <c r="U81" i="11"/>
  <c r="U83" i="11"/>
  <c r="U84" i="11"/>
  <c r="U74" i="11"/>
  <c r="W64" i="11"/>
  <c r="W65" i="11" s="1"/>
  <c r="W66" i="11" s="1"/>
  <c r="W67" i="11" s="1"/>
  <c r="W68" i="11" s="1"/>
  <c r="X65" i="11"/>
  <c r="X66" i="11" s="1"/>
  <c r="X67" i="11" s="1"/>
  <c r="X68" i="11" s="1"/>
  <c r="U64" i="11"/>
  <c r="U65" i="11" s="1"/>
  <c r="U66" i="11" s="1"/>
  <c r="U67" i="11" s="1"/>
  <c r="U68" i="11" s="1"/>
  <c r="U59" i="11"/>
  <c r="V65" i="11" s="1"/>
  <c r="V66" i="11" s="1"/>
  <c r="V67" i="11" s="1"/>
  <c r="V68" i="11" s="1"/>
  <c r="U58" i="11"/>
  <c r="Y66" i="11" s="1"/>
  <c r="Y67" i="11" s="1"/>
  <c r="Y68" i="11" s="1"/>
  <c r="V85" i="11" s="1"/>
  <c r="U56" i="11"/>
  <c r="V82" i="11" l="1"/>
  <c r="X82" i="11"/>
  <c r="W85" i="11"/>
  <c r="U85" i="11"/>
  <c r="W82" i="11"/>
  <c r="X85" i="11"/>
  <c r="U82" i="11"/>
  <c r="BN48" i="11"/>
  <c r="BO48" i="11"/>
  <c r="BP48" i="11"/>
  <c r="BQ48" i="11"/>
  <c r="BR48" i="11"/>
  <c r="BS48" i="11"/>
  <c r="BT48" i="11"/>
  <c r="BU48" i="11"/>
  <c r="BV48" i="11"/>
  <c r="BW48" i="11"/>
  <c r="BX48" i="11"/>
  <c r="BY48" i="11"/>
  <c r="BZ48" i="11"/>
  <c r="CA48" i="11"/>
  <c r="CB48" i="11"/>
  <c r="CC48" i="11"/>
  <c r="CD48" i="11"/>
  <c r="CE48" i="11"/>
  <c r="CF48" i="11"/>
  <c r="CG48" i="11"/>
  <c r="CH48" i="11"/>
  <c r="CI48" i="11"/>
  <c r="CJ48" i="11"/>
  <c r="CK48" i="11"/>
  <c r="CL48" i="11"/>
  <c r="CM48" i="11"/>
  <c r="CN48" i="11"/>
  <c r="CO48" i="11"/>
  <c r="CP48" i="11"/>
  <c r="CQ48" i="11"/>
  <c r="CR48" i="11"/>
  <c r="CS48" i="11"/>
  <c r="CT48" i="11"/>
  <c r="CU48" i="11"/>
  <c r="CV48" i="11"/>
  <c r="CW48" i="11"/>
  <c r="CX48" i="11"/>
  <c r="CY48" i="11"/>
  <c r="CZ48" i="11"/>
  <c r="DA48" i="11"/>
  <c r="DB48" i="11"/>
  <c r="DC48" i="11"/>
  <c r="BN49" i="11"/>
  <c r="BO49" i="11"/>
  <c r="BP49" i="11"/>
  <c r="BQ49" i="11"/>
  <c r="BR49" i="11"/>
  <c r="BS49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CL49" i="11"/>
  <c r="CM49" i="11"/>
  <c r="CN49" i="11"/>
  <c r="CO49" i="11"/>
  <c r="CP49" i="11"/>
  <c r="CQ49" i="11"/>
  <c r="CR49" i="11"/>
  <c r="CS49" i="11"/>
  <c r="CT49" i="11"/>
  <c r="CU49" i="11"/>
  <c r="CV49" i="11"/>
  <c r="CW49" i="11"/>
  <c r="CX49" i="11"/>
  <c r="CY49" i="11"/>
  <c r="CZ49" i="11"/>
  <c r="DA49" i="11"/>
  <c r="DB49" i="11"/>
  <c r="DC49" i="11"/>
  <c r="BN50" i="11"/>
  <c r="BO50" i="11"/>
  <c r="BP50" i="11"/>
  <c r="BQ50" i="11"/>
  <c r="BR50" i="11"/>
  <c r="BS50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F50" i="11"/>
  <c r="CG50" i="11"/>
  <c r="CH50" i="11"/>
  <c r="CI50" i="11"/>
  <c r="CJ50" i="11"/>
  <c r="CK50" i="11"/>
  <c r="CL50" i="11"/>
  <c r="CM50" i="11"/>
  <c r="CN50" i="11"/>
  <c r="CO50" i="11"/>
  <c r="CP50" i="11"/>
  <c r="CQ50" i="11"/>
  <c r="CR50" i="11"/>
  <c r="CS50" i="11"/>
  <c r="CT50" i="11"/>
  <c r="CU50" i="11"/>
  <c r="CV50" i="11"/>
  <c r="CW50" i="11"/>
  <c r="CX50" i="11"/>
  <c r="CY50" i="11"/>
  <c r="CZ50" i="11"/>
  <c r="DA50" i="11"/>
  <c r="DB50" i="11"/>
  <c r="DC50" i="11"/>
  <c r="DZ48" i="11"/>
  <c r="DZ50" i="11"/>
  <c r="DZ49" i="11"/>
  <c r="BN32" i="11" l="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CR32" i="11"/>
  <c r="CS32" i="11"/>
  <c r="CT32" i="11"/>
  <c r="DZ32" i="11"/>
  <c r="CT34" i="11" l="1"/>
  <c r="CS34" i="11"/>
  <c r="CR34" i="11"/>
  <c r="CQ34" i="11"/>
  <c r="CP34" i="11"/>
  <c r="CO34" i="11"/>
  <c r="CN34" i="11"/>
  <c r="CM34" i="11"/>
  <c r="CL34" i="11"/>
  <c r="CK34" i="11"/>
  <c r="CJ34" i="11"/>
  <c r="CI34" i="11"/>
  <c r="CH34" i="11"/>
  <c r="CG34" i="11"/>
  <c r="CF34" i="11"/>
  <c r="CE34" i="11"/>
  <c r="CD34" i="11"/>
  <c r="CC34" i="11"/>
  <c r="CB34" i="11"/>
  <c r="CA34" i="11"/>
  <c r="BZ34" i="11"/>
  <c r="BY34" i="11"/>
  <c r="BX34" i="11"/>
  <c r="BW34" i="11"/>
  <c r="BV34" i="11"/>
  <c r="BU34" i="11"/>
  <c r="BT34" i="11"/>
  <c r="BS34" i="11"/>
  <c r="BR34" i="11"/>
  <c r="BQ34" i="11"/>
  <c r="BP34" i="11"/>
  <c r="BO34" i="11"/>
  <c r="CT33" i="1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A1" i="1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BN47" i="11"/>
  <c r="BN46" i="11"/>
  <c r="BN45" i="11"/>
  <c r="BN44" i="11"/>
  <c r="BN43" i="11"/>
  <c r="BN42" i="11"/>
  <c r="BN41" i="11"/>
  <c r="BN40" i="11"/>
  <c r="BN39" i="11"/>
  <c r="BN38" i="11"/>
  <c r="BN37" i="11"/>
  <c r="BN34" i="11"/>
  <c r="BN33" i="11"/>
  <c r="BN31" i="11"/>
  <c r="BN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34" i="11"/>
  <c r="DZ33" i="11"/>
  <c r="DZ25" i="11"/>
  <c r="DZ23" i="11"/>
  <c r="DZ39" i="11"/>
  <c r="DZ3" i="11"/>
  <c r="DZ43" i="11"/>
  <c r="DZ27" i="11"/>
  <c r="DZ24" i="11"/>
  <c r="DZ19" i="11"/>
  <c r="DZ40" i="11"/>
  <c r="DZ26" i="11"/>
  <c r="DZ31" i="11"/>
  <c r="DZ46" i="11"/>
  <c r="DZ15" i="11"/>
  <c r="DZ47" i="11"/>
  <c r="DZ4" i="11"/>
  <c r="DZ2" i="11"/>
  <c r="DZ14" i="11"/>
  <c r="DZ11" i="11"/>
  <c r="DZ30" i="11"/>
  <c r="DZ37" i="11"/>
  <c r="DZ38" i="11"/>
  <c r="DZ9" i="11"/>
  <c r="DZ42" i="11"/>
  <c r="DZ5" i="11"/>
  <c r="DZ7" i="11"/>
  <c r="DZ44" i="11"/>
  <c r="DZ41" i="11"/>
  <c r="DZ12" i="11"/>
  <c r="DZ10" i="11"/>
  <c r="DZ17" i="11"/>
  <c r="DZ21" i="11"/>
  <c r="DZ8" i="11"/>
  <c r="DZ13" i="11"/>
  <c r="DZ22" i="11"/>
  <c r="DZ16" i="11"/>
  <c r="DZ45" i="11"/>
  <c r="DZ18" i="11"/>
  <c r="DZ20" i="11"/>
  <c r="DZ6" i="11"/>
  <c r="A48" i="11" l="1"/>
  <c r="A49" i="11"/>
  <c r="A50" i="11"/>
  <c r="A33" i="11"/>
  <c r="A32" i="11"/>
  <c r="A46" i="11"/>
  <c r="A2" i="11"/>
  <c r="A15" i="11"/>
  <c r="A12" i="11"/>
  <c r="A23" i="11"/>
  <c r="A41" i="11"/>
  <c r="A13" i="11"/>
  <c r="A27" i="11"/>
  <c r="A42" i="11"/>
  <c r="A3" i="11"/>
  <c r="A14" i="11"/>
  <c r="A30" i="11"/>
  <c r="A43" i="11"/>
  <c r="A4" i="11"/>
  <c r="A47" i="11"/>
  <c r="A5" i="11"/>
  <c r="A6" i="11"/>
  <c r="A20" i="11"/>
  <c r="A34" i="11"/>
  <c r="A7" i="11"/>
  <c r="A21" i="11"/>
  <c r="A39" i="11"/>
  <c r="A31" i="11"/>
  <c r="A19" i="11"/>
  <c r="A11" i="11"/>
  <c r="A22" i="11"/>
  <c r="A40" i="11"/>
  <c r="A8" i="11"/>
  <c r="A16" i="11"/>
  <c r="A24" i="11"/>
  <c r="A44" i="11"/>
  <c r="A9" i="11"/>
  <c r="A17" i="11"/>
  <c r="A25" i="11"/>
  <c r="A37" i="11"/>
  <c r="A45" i="11"/>
  <c r="A10" i="11"/>
  <c r="A18" i="11"/>
  <c r="A26" i="11"/>
  <c r="A38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<sst xmlns="http://schemas.openxmlformats.org/spreadsheetml/2006/main" count="1821" uniqueCount="355">
  <si>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</si>
  <si>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</si>
  <si>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</si>
  <si>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</si>
  <si>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</si>
  <si>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</si>
  <si>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</si>
  <si>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</si>
  <si>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</si>
  <si>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</si>
  <si>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</si>
  <si>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</si>
  <si>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</si>
  <si>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</si>
  <si>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</si>
  <si>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</si>
  <si>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</si>
  <si>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</si>
  <si>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</si>
  <si>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</si>
  <si>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</si>
  <si>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</si>
  <si>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</si>
  <si>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</si>
  <si>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</si>
  <si>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</si>
  <si>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</si>
  <si>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</si>
  <si>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</si>
  <si>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</si>
  <si>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</si>
  <si>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</si>
  <si>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</si>
  <si>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</si>
  <si>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</si>
  <si>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</si>
  <si>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</si>
  <si>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</si>
  <si>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</si>
  <si>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</si>
  <si>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</si>
  <si>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</si>
  <si>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</si>
  <si>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</si>
  <si>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</si>
  <si>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</si>
  <si>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</si>
  <si>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</si>
  <si>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</si>
  <si>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</si>
  <si>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</si>
  <si>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</si>
  <si>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</si>
  <si>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</si>
  <si>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</si>
  <si>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</si>
  <si>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</si>
  <si>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</si>
  <si>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</si>
  <si>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</si>
  <si>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</si>
  <si>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</si>
  <si>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</si>
  <si>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</si>
  <si>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</si>
  <si>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</si>
  <si>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</si>
  <si>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</si>
  <si>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</si>
  <si>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</si>
  <si>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</si>
  <si>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</si>
  <si>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</si>
  <si>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</si>
  <si>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</si>
  <si>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</si>
  <si>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</si>
  <si>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</si>
  <si>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</si>
  <si>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</si>
  <si>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</si>
  <si>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</si>
  <si>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</si>
  <si>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</si>
  <si>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</si>
  <si>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</si>
  <si>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</si>
  <si>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</si>
  <si>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</si>
  <si>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</si>
  <si>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</si>
  <si>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</si>
  <si>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</si>
  <si>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</si>
  <si>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</si>
  <si>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</si>
  <si>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</si>
  <si>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</si>
  <si>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</si>
  <si>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</si>
  <si>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</si>
  <si>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</si>
  <si>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</si>
  <si>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</si>
  <si>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</si>
  <si>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</si>
  <si>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</si>
  <si>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</si>
  <si>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</si>
  <si>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</si>
  <si>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</si>
  <si>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</si>
  <si>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</si>
  <si>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</si>
  <si>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</si>
  <si>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</si>
  <si>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</si>
  <si>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</si>
  <si>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</si>
  <si>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</si>
  <si>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</si>
  <si>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</si>
  <si>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</si>
  <si>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</si>
  <si>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</si>
  <si>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</si>
  <si>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</si>
  <si>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</si>
  <si>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</si>
  <si>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</si>
  <si>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</si>
  <si>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</si>
  <si>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</si>
  <si>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</si>
  <si>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</si>
  <si>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</si>
  <si>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</si>
  <si>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</si>
  <si>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</si>
  <si>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</si>
  <si>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</si>
  <si>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</si>
  <si>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</si>
  <si>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</si>
  <si>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</si>
  <si>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</si>
  <si>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</si>
  <si>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</si>
  <si>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</si>
  <si>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</si>
  <si>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</si>
  <si>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</si>
  <si>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</si>
  <si>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</si>
  <si>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</si>
  <si>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</si>
  <si>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</si>
  <si>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</si>
  <si>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</si>
  <si>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</si>
  <si>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</si>
  <si>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</si>
  <si>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</si>
  <si>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</si>
  <si>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</si>
  <si>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</si>
  <si>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</si>
  <si>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</si>
  <si>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</si>
  <si>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</si>
  <si>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</si>
  <si>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</si>
  <si>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</si>
  <si>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</si>
  <si>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</si>
  <si>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</si>
  <si>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</si>
  <si>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</si>
  <si>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</si>
  <si>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</si>
  <si>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</si>
  <si>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</si>
  <si>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</si>
  <si>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</si>
  <si>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</si>
  <si>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</si>
  <si>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</si>
  <si>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</si>
  <si>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</si>
  <si>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</si>
  <si>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</si>
  <si>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</si>
  <si>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</si>
  <si>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</si>
  <si>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</si>
  <si>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</si>
  <si>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</si>
  <si>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</si>
  <si>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</si>
  <si>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</si>
  <si>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</si>
  <si>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</si>
  <si>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</si>
  <si>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</si>
  <si>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</si>
  <si>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</si>
  <si>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</si>
  <si>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</si>
  <si>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</si>
  <si>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</si>
  <si>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</si>
  <si>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</si>
  <si>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</si>
  <si>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</si>
  <si>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</si>
  <si>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</si>
  <si>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</si>
  <si>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</si>
  <si>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</si>
  <si>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</si>
  <si>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</si>
  <si>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</si>
  <si>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</si>
  <si>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</si>
  <si>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</si>
  <si>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</si>
  <si>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</si>
  <si>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</si>
  <si>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</si>
  <si>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</si>
  <si>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</si>
  <si>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</si>
  <si>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</si>
  <si>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</si>
  <si>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</si>
  <si>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</si>
  <si>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</si>
  <si>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</si>
  <si>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</si>
  <si>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</si>
  <si>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</si>
  <si>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</si>
  <si>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</si>
  <si>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</si>
  <si>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</si>
  <si>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</si>
  <si>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</si>
  <si>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</si>
  <si>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</si>
  <si>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</si>
  <si>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</si>
  <si>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</si>
  <si>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</si>
  <si>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</si>
  <si>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</si>
  <si>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</si>
  <si>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</si>
  <si>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</si>
  <si>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</si>
  <si>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</si>
  <si>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</si>
  <si>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</si>
  <si>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300</t>
  </si>
  <si>
    <t>30</t>
  </si>
  <si>
    <t>4.60</t>
  </si>
  <si>
    <t>airship_practical</t>
  </si>
  <si>
    <t>800.00</t>
  </si>
  <si>
    <t>Bomber</t>
  </si>
  <si>
    <t>air</t>
  </si>
  <si>
    <t>1.10</t>
  </si>
  <si>
    <t>1.8</t>
  </si>
  <si>
    <t>1.70</t>
  </si>
  <si>
    <t>single_engine_aircraft_practical</t>
  </si>
  <si>
    <t>Fighter</t>
  </si>
  <si>
    <t>2.0</t>
  </si>
  <si>
    <t>3.45</t>
  </si>
  <si>
    <t>twin_engine_aircraft_practical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</si>
  <si>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</si>
  <si>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</si>
  <si>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</si>
  <si>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</si>
  <si>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</si>
  <si>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</si>
  <si>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</si>
  <si>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</si>
  <si>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</si>
  <si>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</si>
  <si>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</si>
  <si>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</si>
  <si>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</si>
  <si>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</si>
  <si>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</si>
  <si>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</si>
  <si>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</si>
  <si>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</si>
  <si>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</si>
  <si>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</si>
  <si>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</si>
  <si>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</si>
  <si>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</si>
  <si>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</si>
  <si>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</si>
  <si>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</si>
  <si>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</si>
  <si>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</si>
  <si>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</si>
  <si>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</si>
  <si>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</si>
  <si>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</si>
  <si>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</si>
  <si>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</si>
  <si>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</si>
  <si>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</si>
  <si>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transport_practical</t>
  </si>
  <si>
    <t>naval</t>
  </si>
  <si>
    <t>capitalship_practical</t>
  </si>
  <si>
    <t>Battlecruiser</t>
  </si>
  <si>
    <t>Battleship</t>
  </si>
  <si>
    <t>carrier_practical</t>
  </si>
  <si>
    <t>Carrier</t>
  </si>
  <si>
    <t>destroyer_practical</t>
  </si>
  <si>
    <t>Destroyer</t>
  </si>
  <si>
    <t>cruiser_practical</t>
  </si>
  <si>
    <t>HeavyCruiser</t>
  </si>
  <si>
    <t>LCTLandingcraft</t>
  </si>
  <si>
    <t>LightCruiser</t>
  </si>
  <si>
    <t>submarine_practical</t>
  </si>
  <si>
    <t>Submarine</t>
  </si>
  <si>
    <t>Transportship</t>
  </si>
  <si>
    <t>Make changes to the yellow cells on Data</t>
  </si>
  <si>
    <t>Press F9</t>
  </si>
  <si>
    <t>Press this button to export</t>
  </si>
  <si>
    <t>scout</t>
  </si>
  <si>
    <t>coastal_submarine</t>
  </si>
  <si>
    <t>longrange_submarine</t>
  </si>
  <si>
    <t>protected_cruiser</t>
  </si>
  <si>
    <t>inf</t>
  </si>
  <si>
    <t>ac</t>
  </si>
  <si>
    <t>larm</t>
  </si>
  <si>
    <t>arm</t>
  </si>
  <si>
    <t>start</t>
  </si>
  <si>
    <t>increment</t>
  </si>
  <si>
    <t>Inf</t>
  </si>
  <si>
    <t>at</t>
  </si>
  <si>
    <t>start Year</t>
  </si>
  <si>
    <t>2nd Year</t>
  </si>
  <si>
    <t>Offset</t>
  </si>
  <si>
    <t>AT</t>
  </si>
  <si>
    <t>INF</t>
  </si>
  <si>
    <t>AC</t>
  </si>
  <si>
    <t>LARM</t>
  </si>
  <si>
    <t>ARM</t>
  </si>
  <si>
    <t>Tech Year</t>
  </si>
  <si>
    <t>Piercing Unit</t>
  </si>
  <si>
    <t>Armor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</si>
</sst>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43" fontId="0" fillId="2" borderId="0" xfId="729" applyNumberFormat="1" applyFont="1" applyFill="1"/>
    <xf numFmtId="2" fontId="0" fillId="0" borderId="0" xfId="0" applyNumberFormat="1" applyFill="1"/>
    <xf numFmtId="1" fontId="0" fillId="2" borderId="0" xfId="0" applyNumberFormat="1" applyFill="1"/>
    <xf numFmtId="1" fontId="0" fillId="0" borderId="0" xfId="0" applyNumberFormat="1" applyFill="1"/>
    <xf numFmtId="0" fontId="0" fillId="2" borderId="0" xfId="0" applyNumberFormat="1" applyFill="1"/>
    <xf numFmtId="0" fontId="0" fillId="3" borderId="0" xfId="0" applyFill="1"/>
    <xf numFmtId="0" fontId="0" fillId="0" borderId="0" xfId="0" applyFill="1" applyAlignment="1">
      <alignment horizontal="center"/>
    </xf>
  </cellXfs>
  <cellStyles count="730">
    <cellStyle name="Comma" xfId="729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85"/>
  <sheetViews>
    <sheetView tabSelected="1" zoomScale="55" zoomScaleNormal="55" workbookViewId="0">
      <pane xSplit="2" ySplit="1" topLeftCell="BH2" activePane="bottomRight" state="frozen"/>
      <selection pane="topRight" activeCell="D1" sqref="D1"/>
      <selection pane="bottomLeft" activeCell="A2" sqref="A2"/>
      <selection pane="bottomRight" activeCell="DZ50" sqref="DZ50"/>
    </sheetView>
  </sheetViews>
  <sheetFormatPr defaultColWidth="11" defaultRowHeight="15.75" x14ac:dyDescent="0.25"/>
  <cols>
    <col min="1" max="1" width="98.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19" width="11" style="2"/>
    <col min="20" max="20" width="16.25" style="2" customWidth="1"/>
    <col min="21" max="21" width="36.875" style="2" customWidth="1"/>
    <col min="22" max="22" width="21.875" style="2" customWidth="1"/>
    <col min="23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11" style="2" hidden="1" customWidth="1"/>
    <col min="107" max="107" width="40.625" style="2" hidden="1" customWidth="1"/>
    <col min="108" max="109" width="11" style="2" hidden="1" customWidth="1"/>
    <col min="110" max="110" width="38.625" style="2" hidden="1" customWidth="1"/>
    <col min="111" max="125" width="11" style="2" hidden="1" customWidth="1"/>
    <col min="126" max="126" width="18" style="2" hidden="1" customWidth="1"/>
    <col min="127" max="127" width="11" style="2" hidden="1" customWidth="1"/>
    <col min="128" max="128" width="30.875" style="2" hidden="1" customWidth="1"/>
    <col min="129" max="129" width="11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 ca="1">$A$1&amp;"units\"&amp;B2&amp;".txt"</f>
        <v>C:\Program Files (x86)\Paradox Interactive\Hearts of Iron III\tfh\mod\ww1tfh\units\Alpini_brigade.txt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5" t="s">
        <v>100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 t="shared" ref="BN2:BN25" si="0">LOWER(B2)&amp;" = {"</f>
        <v>alpini_brigade = {</v>
      </c>
      <c r="BO2" s="2" t="str">
        <f>IF(C2="","",C$1&amp;" = "&amp;C2)</f>
        <v/>
      </c>
      <c r="BP2" s="2" t="str">
        <f t="shared" ref="BP2:BP27" si="1">IF(D2="","",D$1&amp;" = "&amp;D2)</f>
        <v xml:space="preserve">
arctic = {
attack = 0.60
defence = 0.25
movement = 0.20
}</v>
      </c>
      <c r="BQ2" s="2" t="str">
        <f t="shared" ref="BQ2:BQ27" si="2">IF(E2="","",E$1&amp;" = "&amp;E2)</f>
        <v/>
      </c>
      <c r="BR2" s="2" t="str">
        <f t="shared" ref="BR2:BR27" si="3">IF(F2="","",F$1&amp;" = "&amp;F2)</f>
        <v/>
      </c>
      <c r="BS2" s="2" t="str">
        <f t="shared" ref="BS2:BS27" si="4">IF(G2="","",G$1&amp;" = "&amp;G2)</f>
        <v xml:space="preserve">
forest = {
attack = 0.10
movement = 0.10
}</v>
      </c>
      <c r="BT2" s="2" t="str">
        <f t="shared" ref="BT2:BT27" si="5">IF(H2="","",H$1&amp;" = "&amp;H2)</f>
        <v/>
      </c>
      <c r="BU2" s="2" t="str">
        <f t="shared" ref="BU2:BU27" si="6">IF(I2="","",I$1&amp;" = "&amp;I2)</f>
        <v xml:space="preserve">
hills = {
attack = 0.50
defence = 0.15
movement = 0.10
}</v>
      </c>
      <c r="BV2" s="2" t="str">
        <f t="shared" ref="BV2:BV27" si="7">IF(J2="","",J$1&amp;" = "&amp;J2)</f>
        <v xml:space="preserve">
jungle = {
attack = 0.10
movement = 0.10
}</v>
      </c>
      <c r="BW2" s="2" t="str">
        <f t="shared" ref="BW2:BW27" si="8">IF(K2="","",K$1&amp;" = "&amp;K2)</f>
        <v/>
      </c>
      <c r="BX2" s="2" t="str">
        <f t="shared" ref="BX2:BX27" si="9">IF(L2="","",L$1&amp;" = "&amp;L2)</f>
        <v xml:space="preserve">
mountain = {
attack = 0.60
defence = 0.25
movement = 0.10
}</v>
      </c>
      <c r="BY2" s="2" t="str">
        <f t="shared" ref="BY2:BY27" si="10">IF(M2="","",M$1&amp;" = "&amp;M2)</f>
        <v/>
      </c>
      <c r="BZ2" s="2" t="str">
        <f t="shared" ref="BZ2:BZ27" si="11">IF(N2="","",N$1&amp;" = "&amp;N2)</f>
        <v/>
      </c>
      <c r="CA2" s="2" t="str">
        <f t="shared" ref="CA2:CA27" si="12">IF(O2="","",O$1&amp;" = "&amp;O2)</f>
        <v/>
      </c>
      <c r="CB2" s="2" t="str">
        <f t="shared" ref="CB2:CB27" si="13">IF(P2="","",P$1&amp;" = "&amp;P2)</f>
        <v/>
      </c>
      <c r="CC2" s="2" t="str">
        <f t="shared" ref="CC2:CC27" si="14">IF(Q2="","",Q$1&amp;" = "&amp;Q2)</f>
        <v xml:space="preserve">
woods = {
attack = 0.05
movement = 0.05
}</v>
      </c>
      <c r="CD2" s="2" t="str">
        <f t="shared" ref="CD2:CD27" si="15">IF(R2="","",R$1&amp;" = "&amp;R2)</f>
        <v/>
      </c>
      <c r="CE2" s="2" t="str">
        <f t="shared" ref="CE2:CE27" si="16">IF(S2="","",S$1&amp;" = "&amp;S2)</f>
        <v>air_attack = 0.10</v>
      </c>
      <c r="CF2" s="2" t="str">
        <f t="shared" ref="CF2:CF27" si="17">IF(T2="","",T$1&amp;" = "&amp;T2)</f>
        <v>air_defence = 2.50</v>
      </c>
      <c r="CG2" s="2" t="str">
        <f t="shared" ref="CG2:CG27" si="18">IF(U2="","",U$1&amp;" = "&amp;U2)</f>
        <v/>
      </c>
      <c r="CH2" s="2" t="str">
        <f t="shared" ref="CH2:CH27" si="19">IF(V2="","",V$1&amp;" = "&amp;V2)</f>
        <v>ap_attack = 1</v>
      </c>
      <c r="CI2" s="2" t="str">
        <f t="shared" ref="CI2:CI27" si="20">IF(W2="","",W$1&amp;" = "&amp;W2)</f>
        <v/>
      </c>
      <c r="CJ2" s="2" t="str">
        <f t="shared" ref="CJ2:CJ27" si="21">IF(X2="","",X$1&amp;" = "&amp;X2)</f>
        <v/>
      </c>
      <c r="CK2" s="2" t="str">
        <f t="shared" ref="CK2:CK27" si="22">IF(Y2="","",Y$1&amp;" = "&amp;Y2)</f>
        <v>build_cost_ic = 6.23</v>
      </c>
      <c r="CL2" s="2" t="str">
        <f t="shared" ref="CL2:CL27" si="23">IF(Z2="","",Z$1&amp;" = "&amp;Z2)</f>
        <v>build_cost_manpower = 9.33</v>
      </c>
      <c r="CM2" s="2" t="str">
        <f t="shared" ref="CM2:CM27" si="24">IF(AA2="","",AA$1&amp;" = "&amp;AA2)</f>
        <v>build_time = 160</v>
      </c>
      <c r="CN2" s="2" t="str">
        <f t="shared" ref="CN2:CN27" si="25">IF(AB2="","",AB$1&amp;" = "&amp;AB2)</f>
        <v/>
      </c>
      <c r="CO2" s="2" t="str">
        <f t="shared" ref="CO2:CO27" si="26">IF(AC2="","",AC$1&amp;" = "&amp;AC2)</f>
        <v>combat_width = 2</v>
      </c>
      <c r="CP2" s="2" t="str">
        <f t="shared" ref="CP2:CP27" si="27">IF(AD2="","",AD$1&amp;" = "&amp;AD2)</f>
        <v>completion_size = 0.3</v>
      </c>
      <c r="CQ2" s="2" t="str">
        <f t="shared" ref="CQ2:CQ27" si="28">IF(AE2="","",AE$1&amp;" = "&amp;AE2)</f>
        <v>default_morale = 0.45</v>
      </c>
      <c r="CR2" s="2" t="str">
        <f t="shared" ref="CR2:CR27" si="29">IF(AF2="","",AF$1&amp;" = "&amp;AF2)</f>
        <v>default_organisation = 35</v>
      </c>
      <c r="CS2" s="2" t="str">
        <f t="shared" ref="CS2:CS27" si="30">IF(AG2="","",AG$1&amp;" = "&amp;AG2)</f>
        <v>defensiveness = 4.00</v>
      </c>
      <c r="CT2" s="2" t="str">
        <f t="shared" ref="CT2:CT27" si="31">IF(AH2="","",AH$1&amp;" = "&amp;AH2)</f>
        <v/>
      </c>
      <c r="CU2" s="2" t="str">
        <f t="shared" ref="CU2:CU27" si="32">IF(AI2="","",AI$1&amp;" = "&amp;AI2)</f>
        <v/>
      </c>
      <c r="CV2" s="2" t="str">
        <f t="shared" ref="CV2:CV27" si="33">IF(AJ2="","",AJ$1&amp;" = "&amp;AJ2)</f>
        <v>fuel_consumption = 0.00</v>
      </c>
      <c r="CW2" s="2" t="str">
        <f t="shared" ref="CW2:CW27" si="34">IF(AK2="","",AK$1&amp;" = "&amp;AK2)</f>
        <v>hard_attack = 0.33</v>
      </c>
      <c r="CX2" s="2" t="str">
        <f t="shared" ref="CX2:CX27" si="35">IF(AL2="","",AL$1&amp;" = "&amp;AL2)</f>
        <v/>
      </c>
      <c r="CY2" s="2" t="str">
        <f t="shared" ref="CY2:CY27" si="36">IF(AM2="","",AM$1&amp;" = "&amp;AM2)</f>
        <v/>
      </c>
      <c r="CZ2" s="2" t="str">
        <f t="shared" ref="CZ2:CZ27" si="37">IF(AN2="","",AN$1&amp;" = "&amp;AN2)</f>
        <v/>
      </c>
      <c r="DA2" s="2" t="str">
        <f t="shared" ref="DA2:DA27" si="38">IF(AO2="","",AO$1&amp;" = "&amp;AO2)</f>
        <v/>
      </c>
      <c r="DB2" s="2" t="str">
        <f t="shared" ref="DB2:DB27" si="39">IF(AP2="","",AP$1&amp;" = "&amp;AP2)</f>
        <v/>
      </c>
      <c r="DC2" s="2" t="str">
        <f t="shared" ref="DC2:DC27" si="40">IF(AQ2="","",AQ$1&amp;" = "&amp;AQ2)</f>
        <v>max_percentage_of_type = 0.04</v>
      </c>
      <c r="DD2" s="2" t="str">
        <f t="shared" ref="DD2:DD27" si="41">IF(AR2="","",AR$1&amp;" = "&amp;AR2)</f>
        <v>max_strength = 70</v>
      </c>
      <c r="DE2" s="2" t="str">
        <f t="shared" ref="DE2:DE27" si="42">IF(AS2="","",AS$1&amp;" = "&amp;AS2)</f>
        <v>maximum_speed = 4.33</v>
      </c>
      <c r="DF2" s="2" t="str">
        <f t="shared" ref="DF2:DF27" si="43">IF(AT2="","",AT$1&amp;" = "&amp;AT2)</f>
        <v>minimum_of_type = 6</v>
      </c>
      <c r="DG2" s="2" t="str">
        <f t="shared" ref="DG2:DG27" si="44">IF(AU2="","",AU$1&amp;" = "&amp;AU2)</f>
        <v>officers = 250</v>
      </c>
      <c r="DH2" s="2" t="str">
        <f t="shared" ref="DH2:DH27" si="45">IF(AV2="","",AV$1&amp;" = "&amp;AV2)</f>
        <v>on_completion = infantry_practical</v>
      </c>
      <c r="DI2" s="2" t="str">
        <f t="shared" ref="DI2:DI27" si="46">IF(AW2="","",AW$1&amp;" = "&amp;AW2)</f>
        <v/>
      </c>
      <c r="DJ2" s="2" t="str">
        <f t="shared" ref="DJ2:DJ27" si="47">IF(AX2="","",AX$1&amp;" = "&amp;AX2)</f>
        <v>priority = 9</v>
      </c>
      <c r="DK2" s="2" t="str">
        <f t="shared" ref="DK2:DK27" si="48">IF(AY2="","",AY$1&amp;" = "&amp;AY2)</f>
        <v>radio_strength = 1</v>
      </c>
      <c r="DL2" s="2" t="str">
        <f t="shared" ref="DL2:DL27" si="49">IF(AZ2="","",AZ$1&amp;" = "&amp;AZ2)</f>
        <v>repair_cost_multiplier = 0.05</v>
      </c>
      <c r="DM2" s="2" t="str">
        <f t="shared" ref="DM2:DM27" si="50">IF(BA2="","",BA$1&amp;" = "&amp;BA2)</f>
        <v/>
      </c>
      <c r="DN2" s="2" t="str">
        <f t="shared" ref="DN2:DN27" si="51">IF(BB2="","",BB$1&amp;" = "&amp;BB2)</f>
        <v>soft_attack = 1.67</v>
      </c>
      <c r="DO2" s="2" t="str">
        <f t="shared" ref="DO2:DO27" si="52">IF(BC2="","",BC$1&amp;" = "&amp;BC2)</f>
        <v>softness = 1.00</v>
      </c>
      <c r="DP2" s="2" t="str">
        <f t="shared" ref="DP2:DP27" si="53">IF(BD2="","",BD$1&amp;" = "&amp;BD2)</f>
        <v>sprite = Elite</v>
      </c>
      <c r="DQ2" s="2" t="str">
        <f t="shared" ref="DQ2:DQ27" si="54">IF(BE2="","",BE$1&amp;" = "&amp;BE2)</f>
        <v>supply_consumption = 1.56</v>
      </c>
      <c r="DR2" s="2" t="str">
        <f t="shared" ref="DR2:DR27" si="55">IF(BF2="","",BF$1&amp;" = "&amp;BF2)</f>
        <v>suppression = 1.34</v>
      </c>
      <c r="DS2" s="2" t="str">
        <f t="shared" ref="DS2:DS27" si="56">IF(BG2="","",BG$1&amp;" = "&amp;BG2)</f>
        <v>toughness = 2.33</v>
      </c>
      <c r="DT2" s="2" t="str">
        <f t="shared" ref="DT2:DT27" si="57">IF(BH2="","",BH$1&amp;" = "&amp;BH2)</f>
        <v>transport_weight = 16</v>
      </c>
      <c r="DU2" s="2" t="str">
        <f t="shared" ref="DU2:DU27" si="58">IF(BI2="","",BI$1&amp;" = "&amp;BI2)</f>
        <v>type = land</v>
      </c>
      <c r="DV2" s="2" t="str">
        <f t="shared" ref="DV2:DV27" si="59">IF(BJ2="","",BJ$1&amp;" = "&amp;BJ2)</f>
        <v>unit_group = infantry_unit_type</v>
      </c>
      <c r="DW2" s="2" t="str">
        <f t="shared" ref="DW2:DW27" si="60">IF(BK2="","",BK$1&amp;" = "&amp;BK2)</f>
        <v/>
      </c>
      <c r="DX2" s="2" t="str">
        <f t="shared" ref="DX2:DX27" si="61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0.10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5" t="s">
        <v>100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 t="shared" si="0"/>
        <v>alpins_brigade = {</v>
      </c>
      <c r="BO3" s="2" t="str">
        <f t="shared" ref="BO3:BO27" si="62">IF(C3="","",C$1&amp;" = "&amp;C3)</f>
        <v/>
      </c>
      <c r="BP3" s="2" t="str">
        <f t="shared" si="1"/>
        <v xml:space="preserve">
arctic = {
attack = 0.55
defence = 0.30
movement = 0.20
}</v>
      </c>
      <c r="BQ3" s="2" t="str">
        <f t="shared" si="2"/>
        <v/>
      </c>
      <c r="BR3" s="2" t="str">
        <f t="shared" si="3"/>
        <v/>
      </c>
      <c r="BS3" s="2" t="str">
        <f t="shared" si="4"/>
        <v xml:space="preserve">
forest = {
attack = 0.10
movement = 0.10
}</v>
      </c>
      <c r="BT3" s="2" t="str">
        <f t="shared" si="5"/>
        <v/>
      </c>
      <c r="BU3" s="2" t="str">
        <f t="shared" si="6"/>
        <v xml:space="preserve">
hills = {
attack = 0.45
defence = 0.20
movement = 0.10
}</v>
      </c>
      <c r="BV3" s="2" t="str">
        <f t="shared" si="7"/>
        <v xml:space="preserve">
jungle = {
attack = 0.10
movement = 0.10
}</v>
      </c>
      <c r="BW3" s="2" t="str">
        <f t="shared" si="8"/>
        <v/>
      </c>
      <c r="BX3" s="2" t="str">
        <f t="shared" si="9"/>
        <v xml:space="preserve">
mountain = {
attack = 0.55
defence = 0.30
movement = 0.10
}</v>
      </c>
      <c r="BY3" s="2" t="str">
        <f t="shared" si="10"/>
        <v/>
      </c>
      <c r="BZ3" s="2" t="str">
        <f t="shared" si="11"/>
        <v/>
      </c>
      <c r="CA3" s="2" t="str">
        <f t="shared" si="12"/>
        <v/>
      </c>
      <c r="CB3" s="2" t="str">
        <f t="shared" si="13"/>
        <v/>
      </c>
      <c r="CC3" s="2" t="str">
        <f t="shared" si="14"/>
        <v xml:space="preserve">
woods = {
attack = 0.05
movement = 0.05
}</v>
      </c>
      <c r="CD3" s="2" t="str">
        <f t="shared" si="15"/>
        <v/>
      </c>
      <c r="CE3" s="2" t="str">
        <f t="shared" si="16"/>
        <v>air_attack = 0.10</v>
      </c>
      <c r="CF3" s="2" t="str">
        <f t="shared" si="17"/>
        <v>air_defence = 2.50</v>
      </c>
      <c r="CG3" s="2" t="str">
        <f t="shared" si="18"/>
        <v/>
      </c>
      <c r="CH3" s="2" t="str">
        <f t="shared" si="19"/>
        <v>ap_attack = 1</v>
      </c>
      <c r="CI3" s="2" t="str">
        <f t="shared" si="20"/>
        <v/>
      </c>
      <c r="CJ3" s="2" t="str">
        <f t="shared" si="21"/>
        <v/>
      </c>
      <c r="CK3" s="2" t="str">
        <f t="shared" si="22"/>
        <v>build_cost_ic = 6.23</v>
      </c>
      <c r="CL3" s="2" t="str">
        <f t="shared" si="23"/>
        <v>build_cost_manpower = 9.33</v>
      </c>
      <c r="CM3" s="2" t="str">
        <f t="shared" si="24"/>
        <v>build_time = 160</v>
      </c>
      <c r="CN3" s="2" t="str">
        <f t="shared" si="25"/>
        <v/>
      </c>
      <c r="CO3" s="2" t="str">
        <f t="shared" si="26"/>
        <v>combat_width = 2</v>
      </c>
      <c r="CP3" s="2" t="str">
        <f t="shared" si="27"/>
        <v>completion_size = 0.3</v>
      </c>
      <c r="CQ3" s="2" t="str">
        <f t="shared" si="28"/>
        <v>default_morale = 0.4</v>
      </c>
      <c r="CR3" s="2" t="str">
        <f t="shared" si="29"/>
        <v>default_organisation = 40</v>
      </c>
      <c r="CS3" s="2" t="str">
        <f t="shared" si="30"/>
        <v>defensiveness = 4.00</v>
      </c>
      <c r="CT3" s="2" t="str">
        <f t="shared" si="31"/>
        <v/>
      </c>
      <c r="CU3" s="2" t="str">
        <f t="shared" si="32"/>
        <v/>
      </c>
      <c r="CV3" s="2" t="str">
        <f t="shared" si="33"/>
        <v>fuel_consumption = 0.00</v>
      </c>
      <c r="CW3" s="2" t="str">
        <f t="shared" si="34"/>
        <v>hard_attack = 0.33</v>
      </c>
      <c r="CX3" s="2" t="str">
        <f t="shared" si="35"/>
        <v/>
      </c>
      <c r="CY3" s="2" t="str">
        <f t="shared" si="36"/>
        <v/>
      </c>
      <c r="CZ3" s="2" t="str">
        <f t="shared" si="37"/>
        <v/>
      </c>
      <c r="DA3" s="2" t="str">
        <f t="shared" si="38"/>
        <v/>
      </c>
      <c r="DB3" s="2" t="str">
        <f t="shared" si="39"/>
        <v/>
      </c>
      <c r="DC3" s="2" t="str">
        <f t="shared" si="40"/>
        <v>max_percentage_of_type = 0.04</v>
      </c>
      <c r="DD3" s="2" t="str">
        <f t="shared" si="41"/>
        <v>max_strength = 70</v>
      </c>
      <c r="DE3" s="2" t="str">
        <f t="shared" si="42"/>
        <v>maximum_speed = 4.33</v>
      </c>
      <c r="DF3" s="2" t="str">
        <f t="shared" si="43"/>
        <v>minimum_of_type = 6</v>
      </c>
      <c r="DG3" s="2" t="str">
        <f t="shared" si="44"/>
        <v>officers = 250</v>
      </c>
      <c r="DH3" s="2" t="str">
        <f t="shared" si="45"/>
        <v>on_completion = infantry_practical</v>
      </c>
      <c r="DI3" s="2" t="str">
        <f t="shared" si="46"/>
        <v/>
      </c>
      <c r="DJ3" s="2" t="str">
        <f t="shared" si="47"/>
        <v>priority = 9</v>
      </c>
      <c r="DK3" s="2" t="str">
        <f t="shared" si="48"/>
        <v>radio_strength = 1</v>
      </c>
      <c r="DL3" s="2" t="str">
        <f t="shared" si="49"/>
        <v>repair_cost_multiplier = 0.05</v>
      </c>
      <c r="DM3" s="2" t="str">
        <f t="shared" si="50"/>
        <v/>
      </c>
      <c r="DN3" s="2" t="str">
        <f t="shared" si="51"/>
        <v>soft_attack = 1.67</v>
      </c>
      <c r="DO3" s="2" t="str">
        <f t="shared" si="52"/>
        <v>softness = 1.00</v>
      </c>
      <c r="DP3" s="2" t="str">
        <f t="shared" si="53"/>
        <v>sprite = Elite</v>
      </c>
      <c r="DQ3" s="2" t="str">
        <f t="shared" si="54"/>
        <v>supply_consumption = 1.56</v>
      </c>
      <c r="DR3" s="2" t="str">
        <f t="shared" si="55"/>
        <v>suppression = 1.34</v>
      </c>
      <c r="DS3" s="2" t="str">
        <f t="shared" si="56"/>
        <v>toughness = 2.33</v>
      </c>
      <c r="DT3" s="2" t="str">
        <f t="shared" si="57"/>
        <v>transport_weight = 16</v>
      </c>
      <c r="DU3" s="2" t="str">
        <f t="shared" si="58"/>
        <v>type = land</v>
      </c>
      <c r="DV3" s="2" t="str">
        <f t="shared" si="59"/>
        <v>unit_group = infantry_unit_type</v>
      </c>
      <c r="DW3" s="2" t="str">
        <f t="shared" si="60"/>
        <v/>
      </c>
      <c r="DX3" s="2" t="str">
        <f t="shared" si="61"/>
        <v>usable_by = { FRA }</v>
      </c>
      <c r="DY3" s="2" t="s">
        <v>0</v>
      </c>
      <c r="DZ3" s="2" t="str">
        <f t="shared" ref="DZ3:DZ26" si="63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0.10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4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5" t="s">
        <v>129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 t="shared" si="0"/>
        <v>anti_air_brigade = {</v>
      </c>
      <c r="BO4" s="2" t="str">
        <f t="shared" si="62"/>
        <v/>
      </c>
      <c r="BP4" s="2" t="str">
        <f t="shared" si="1"/>
        <v/>
      </c>
      <c r="BQ4" s="2" t="str">
        <f t="shared" si="2"/>
        <v/>
      </c>
      <c r="BR4" s="2" t="str">
        <f t="shared" si="3"/>
        <v/>
      </c>
      <c r="BS4" s="2" t="str">
        <f t="shared" si="4"/>
        <v xml:space="preserve">
forest = {
attack = -0.20
movement = -0.20
}</v>
      </c>
      <c r="BT4" s="2" t="str">
        <f t="shared" si="5"/>
        <v/>
      </c>
      <c r="BU4" s="2" t="str">
        <f t="shared" si="6"/>
        <v xml:space="preserve">
hills = {
attack = -0.10
movement = -0.10
}</v>
      </c>
      <c r="BV4" s="2" t="str">
        <f t="shared" si="7"/>
        <v xml:space="preserve">
jungle = {
attack = -0.30
movement = -0.30
}</v>
      </c>
      <c r="BW4" s="2" t="str">
        <f t="shared" si="8"/>
        <v xml:space="preserve">
marsh = {
attack = -0.20
movement = -0.70
}</v>
      </c>
      <c r="BX4" s="2" t="str">
        <f t="shared" si="9"/>
        <v xml:space="preserve">
mountain = {
attack = -0.20
movement = -0.70
}</v>
      </c>
      <c r="BY4" s="2" t="str">
        <f t="shared" si="10"/>
        <v/>
      </c>
      <c r="BZ4" s="2" t="str">
        <f t="shared" si="11"/>
        <v/>
      </c>
      <c r="CA4" s="2" t="str">
        <f t="shared" si="12"/>
        <v/>
      </c>
      <c r="CB4" s="2" t="str">
        <f t="shared" si="13"/>
        <v xml:space="preserve">
urban = {
attack = -0.20
}</v>
      </c>
      <c r="CC4" s="2" t="str">
        <f t="shared" si="14"/>
        <v xml:space="preserve">
woods = {
attack = -0.10
movement = -0.10
}</v>
      </c>
      <c r="CD4" s="2" t="str">
        <f t="shared" si="15"/>
        <v>active = no</v>
      </c>
      <c r="CE4" s="2" t="str">
        <f t="shared" si="16"/>
        <v>air_attack = 5.00</v>
      </c>
      <c r="CF4" s="2" t="str">
        <f t="shared" si="17"/>
        <v>air_defence = 5.00</v>
      </c>
      <c r="CG4" s="2" t="str">
        <f t="shared" si="18"/>
        <v>amphibious = { attack = -0.40 }</v>
      </c>
      <c r="CH4" s="2" t="str">
        <f t="shared" si="19"/>
        <v/>
      </c>
      <c r="CI4" s="2" t="str">
        <f t="shared" si="20"/>
        <v/>
      </c>
      <c r="CJ4" s="2" t="str">
        <f t="shared" si="21"/>
        <v/>
      </c>
      <c r="CK4" s="2" t="str">
        <f t="shared" si="22"/>
        <v>build_cost_ic = 2.33</v>
      </c>
      <c r="CL4" s="2" t="str">
        <f t="shared" si="23"/>
        <v>build_cost_manpower = 1.67</v>
      </c>
      <c r="CM4" s="2" t="str">
        <f t="shared" si="24"/>
        <v>build_time = 95</v>
      </c>
      <c r="CN4" s="2" t="str">
        <f t="shared" si="25"/>
        <v/>
      </c>
      <c r="CO4" s="2" t="str">
        <f t="shared" si="26"/>
        <v>combat_width = 0</v>
      </c>
      <c r="CP4" s="2" t="str">
        <f t="shared" si="27"/>
        <v>completion_size = 0.2</v>
      </c>
      <c r="CQ4" s="2" t="str">
        <f t="shared" si="28"/>
        <v>default_morale = 0.25</v>
      </c>
      <c r="CR4" s="2" t="str">
        <f t="shared" si="29"/>
        <v>default_organisation = 20</v>
      </c>
      <c r="CS4" s="2" t="str">
        <f t="shared" si="30"/>
        <v>defensiveness = 2.00</v>
      </c>
      <c r="CT4" s="2" t="str">
        <f t="shared" si="31"/>
        <v/>
      </c>
      <c r="CU4" s="2" t="str">
        <f t="shared" si="32"/>
        <v/>
      </c>
      <c r="CV4" s="2" t="str">
        <f t="shared" si="33"/>
        <v>fuel_consumption = 0.00</v>
      </c>
      <c r="CW4" s="2" t="str">
        <f t="shared" si="34"/>
        <v>hard_attack = 1.00</v>
      </c>
      <c r="CX4" s="2" t="str">
        <f t="shared" si="35"/>
        <v/>
      </c>
      <c r="CY4" s="2" t="str">
        <f t="shared" si="36"/>
        <v/>
      </c>
      <c r="CZ4" s="2" t="str">
        <f t="shared" si="37"/>
        <v/>
      </c>
      <c r="DA4" s="2" t="str">
        <f t="shared" si="38"/>
        <v/>
      </c>
      <c r="DB4" s="2" t="str">
        <f t="shared" si="39"/>
        <v/>
      </c>
      <c r="DC4" s="2" t="str">
        <f t="shared" si="40"/>
        <v/>
      </c>
      <c r="DD4" s="2" t="str">
        <f t="shared" si="41"/>
        <v>max_strength = 10</v>
      </c>
      <c r="DE4" s="2" t="str">
        <f t="shared" si="42"/>
        <v>maximum_speed = 4.00</v>
      </c>
      <c r="DF4" s="2" t="str">
        <f t="shared" si="43"/>
        <v/>
      </c>
      <c r="DG4" s="2" t="str">
        <f t="shared" si="44"/>
        <v>officers = 100</v>
      </c>
      <c r="DH4" s="2" t="str">
        <f t="shared" si="45"/>
        <v>on_completion = artillery_practical</v>
      </c>
      <c r="DI4" s="2" t="str">
        <f t="shared" si="46"/>
        <v/>
      </c>
      <c r="DJ4" s="2" t="str">
        <f t="shared" si="47"/>
        <v>priority = 3</v>
      </c>
      <c r="DK4" s="2" t="str">
        <f t="shared" si="48"/>
        <v>radio_strength = 1</v>
      </c>
      <c r="DL4" s="2" t="str">
        <f t="shared" si="49"/>
        <v>repair_cost_multiplier = 0.05</v>
      </c>
      <c r="DM4" s="2" t="str">
        <f t="shared" si="50"/>
        <v>river = { attack = -0.05 }</v>
      </c>
      <c r="DN4" s="2" t="str">
        <f t="shared" si="51"/>
        <v>soft_attack = 0.70</v>
      </c>
      <c r="DO4" s="2" t="str">
        <f t="shared" si="52"/>
        <v>softness = 0.80</v>
      </c>
      <c r="DP4" s="2" t="str">
        <f t="shared" si="53"/>
        <v>sprite = Infantry</v>
      </c>
      <c r="DQ4" s="2" t="str">
        <f t="shared" si="54"/>
        <v>supply_consumption = 1.56</v>
      </c>
      <c r="DR4" s="2" t="str">
        <f t="shared" si="55"/>
        <v>suppression = 0</v>
      </c>
      <c r="DS4" s="2" t="str">
        <f t="shared" si="56"/>
        <v>toughness = 0.7</v>
      </c>
      <c r="DT4" s="2" t="str">
        <f t="shared" si="57"/>
        <v>transport_weight = 5.00</v>
      </c>
      <c r="DU4" s="2" t="str">
        <f t="shared" si="58"/>
        <v>type = land</v>
      </c>
      <c r="DV4" s="2" t="str">
        <f t="shared" si="59"/>
        <v>unit_group = direct_fire_unit_type</v>
      </c>
      <c r="DW4" s="2" t="str">
        <f t="shared" si="60"/>
        <v/>
      </c>
      <c r="DX4" s="2" t="str">
        <f t="shared" si="61"/>
        <v/>
      </c>
      <c r="DY4" s="2" t="s">
        <v>0</v>
      </c>
      <c r="DZ4" s="2" t="str">
        <f t="shared" si="63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5.00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4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5" t="s">
        <v>100</v>
      </c>
      <c r="T5" s="5" t="s">
        <v>145</v>
      </c>
      <c r="U5" s="5" t="s">
        <v>130</v>
      </c>
      <c r="V5" s="15">
        <v>5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 t="shared" si="0"/>
        <v>anti_tank_brigade = {</v>
      </c>
      <c r="BO5" s="2" t="str">
        <f t="shared" si="62"/>
        <v/>
      </c>
      <c r="BP5" s="2" t="str">
        <f t="shared" si="1"/>
        <v/>
      </c>
      <c r="BQ5" s="2" t="str">
        <f t="shared" si="2"/>
        <v/>
      </c>
      <c r="BR5" s="2" t="str">
        <f t="shared" si="3"/>
        <v/>
      </c>
      <c r="BS5" s="2" t="str">
        <f t="shared" si="4"/>
        <v xml:space="preserve">
forest = {
attack = -0.20
movement = -0.20
}</v>
      </c>
      <c r="BT5" s="2" t="str">
        <f t="shared" si="5"/>
        <v/>
      </c>
      <c r="BU5" s="2" t="str">
        <f t="shared" si="6"/>
        <v xml:space="preserve">
hills = {
attack = -0.10
movement = -0.10
}</v>
      </c>
      <c r="BV5" s="2" t="str">
        <f t="shared" si="7"/>
        <v xml:space="preserve">
jungle = {
attack = -0.30
movement = -0.30
}</v>
      </c>
      <c r="BW5" s="2" t="str">
        <f t="shared" si="8"/>
        <v xml:space="preserve">
marsh = {
attack = -0.20
movement = -0.70
}</v>
      </c>
      <c r="BX5" s="2" t="str">
        <f t="shared" si="9"/>
        <v xml:space="preserve">
mountain = {
attack = -0.20
movement = -0.70
}</v>
      </c>
      <c r="BY5" s="2" t="str">
        <f t="shared" si="10"/>
        <v/>
      </c>
      <c r="BZ5" s="2" t="str">
        <f t="shared" si="11"/>
        <v/>
      </c>
      <c r="CA5" s="2" t="str">
        <f t="shared" si="12"/>
        <v/>
      </c>
      <c r="CB5" s="2" t="str">
        <f t="shared" si="13"/>
        <v xml:space="preserve">
urban = {
attack = -0.20
}</v>
      </c>
      <c r="CC5" s="2" t="str">
        <f t="shared" si="14"/>
        <v xml:space="preserve">
woods = {
attack = -0.10
movement = -0.10
}</v>
      </c>
      <c r="CD5" s="2" t="str">
        <f t="shared" si="15"/>
        <v>active = no</v>
      </c>
      <c r="CE5" s="2" t="str">
        <f t="shared" si="16"/>
        <v>air_attack = 0.10</v>
      </c>
      <c r="CF5" s="2" t="str">
        <f t="shared" si="17"/>
        <v>air_defence = 1.50</v>
      </c>
      <c r="CG5" s="2" t="str">
        <f t="shared" si="18"/>
        <v>amphibious = { attack = -0.40 }</v>
      </c>
      <c r="CH5" s="2" t="str">
        <f t="shared" si="19"/>
        <v>ap_attack = 5</v>
      </c>
      <c r="CI5" s="2" t="str">
        <f t="shared" si="20"/>
        <v/>
      </c>
      <c r="CJ5" s="2" t="str">
        <f t="shared" si="21"/>
        <v/>
      </c>
      <c r="CK5" s="2" t="str">
        <f t="shared" si="22"/>
        <v>build_cost_ic = 3.00</v>
      </c>
      <c r="CL5" s="2" t="str">
        <f t="shared" si="23"/>
        <v>build_cost_manpower = 1.33</v>
      </c>
      <c r="CM5" s="2" t="str">
        <f t="shared" si="24"/>
        <v>build_time = 100</v>
      </c>
      <c r="CN5" s="2" t="str">
        <f t="shared" si="25"/>
        <v/>
      </c>
      <c r="CO5" s="2" t="str">
        <f t="shared" si="26"/>
        <v>combat_width = 0</v>
      </c>
      <c r="CP5" s="2" t="str">
        <f t="shared" si="27"/>
        <v>completion_size = 0.3</v>
      </c>
      <c r="CQ5" s="2" t="str">
        <f t="shared" si="28"/>
        <v>default_morale = 0.25</v>
      </c>
      <c r="CR5" s="2" t="str">
        <f t="shared" si="29"/>
        <v>default_organisation = 20</v>
      </c>
      <c r="CS5" s="2" t="str">
        <f t="shared" si="30"/>
        <v>defensiveness = 2.00</v>
      </c>
      <c r="CT5" s="2" t="str">
        <f t="shared" si="31"/>
        <v/>
      </c>
      <c r="CU5" s="2" t="str">
        <f t="shared" si="32"/>
        <v/>
      </c>
      <c r="CV5" s="2" t="str">
        <f t="shared" si="33"/>
        <v>fuel_consumption = 0.00</v>
      </c>
      <c r="CW5" s="2" t="str">
        <f t="shared" si="34"/>
        <v>hard_attack = 2.50</v>
      </c>
      <c r="CX5" s="2" t="str">
        <f t="shared" si="35"/>
        <v/>
      </c>
      <c r="CY5" s="2" t="str">
        <f t="shared" si="36"/>
        <v/>
      </c>
      <c r="CZ5" s="2" t="str">
        <f t="shared" si="37"/>
        <v/>
      </c>
      <c r="DA5" s="2" t="str">
        <f t="shared" si="38"/>
        <v/>
      </c>
      <c r="DB5" s="2" t="str">
        <f t="shared" si="39"/>
        <v/>
      </c>
      <c r="DC5" s="2" t="str">
        <f t="shared" si="40"/>
        <v/>
      </c>
      <c r="DD5" s="2" t="str">
        <f t="shared" si="41"/>
        <v>max_strength = 10</v>
      </c>
      <c r="DE5" s="2" t="str">
        <f t="shared" si="42"/>
        <v>maximum_speed = 4.00</v>
      </c>
      <c r="DF5" s="2" t="str">
        <f t="shared" si="43"/>
        <v/>
      </c>
      <c r="DG5" s="2" t="str">
        <f t="shared" si="44"/>
        <v>officers = 100</v>
      </c>
      <c r="DH5" s="2" t="str">
        <f t="shared" si="45"/>
        <v>on_completion = artillery_practical</v>
      </c>
      <c r="DI5" s="2" t="str">
        <f t="shared" si="46"/>
        <v/>
      </c>
      <c r="DJ5" s="2" t="str">
        <f t="shared" si="47"/>
        <v>priority = 3</v>
      </c>
      <c r="DK5" s="2" t="str">
        <f t="shared" si="48"/>
        <v>radio_strength = 1</v>
      </c>
      <c r="DL5" s="2" t="str">
        <f t="shared" si="49"/>
        <v>repair_cost_multiplier = 0.05</v>
      </c>
      <c r="DM5" s="2" t="str">
        <f t="shared" si="50"/>
        <v>river = { attack = -0.05 }</v>
      </c>
      <c r="DN5" s="2" t="str">
        <f t="shared" si="51"/>
        <v>soft_attack = 1.20</v>
      </c>
      <c r="DO5" s="2" t="str">
        <f t="shared" si="52"/>
        <v>softness = 0.80</v>
      </c>
      <c r="DP5" s="2" t="str">
        <f t="shared" si="53"/>
        <v>sprite = Infantry</v>
      </c>
      <c r="DQ5" s="2" t="str">
        <f t="shared" si="54"/>
        <v>supply_consumption = 2.33</v>
      </c>
      <c r="DR5" s="2" t="str">
        <f t="shared" si="55"/>
        <v>suppression = 0</v>
      </c>
      <c r="DS5" s="2" t="str">
        <f t="shared" si="56"/>
        <v>toughness = 0.47</v>
      </c>
      <c r="DT5" s="2" t="str">
        <f t="shared" si="57"/>
        <v>transport_weight = 5.00</v>
      </c>
      <c r="DU5" s="2" t="str">
        <f t="shared" si="58"/>
        <v>type = land</v>
      </c>
      <c r="DV5" s="2" t="str">
        <f t="shared" si="59"/>
        <v>unit_group = direct_fire_unit_type</v>
      </c>
      <c r="DW5" s="2" t="str">
        <f t="shared" si="60"/>
        <v/>
      </c>
      <c r="DX5" s="2" t="str">
        <f t="shared" si="61"/>
        <v/>
      </c>
      <c r="DY5" s="2" t="s">
        <v>0</v>
      </c>
      <c r="DZ5" s="2" t="str">
        <f t="shared" si="63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4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5" t="s">
        <v>107</v>
      </c>
      <c r="T6" s="5" t="s">
        <v>142</v>
      </c>
      <c r="U6" s="5" t="s">
        <v>156</v>
      </c>
      <c r="V6" s="5" t="s">
        <v>146</v>
      </c>
      <c r="W6" s="5" t="s">
        <v>62</v>
      </c>
      <c r="X6" s="15">
        <v>5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0.1</v>
      </c>
      <c r="AF6" s="5">
        <v>10</v>
      </c>
      <c r="AG6" s="5">
        <v>0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>
        <v>2</v>
      </c>
      <c r="BC6" s="5" t="s">
        <v>161</v>
      </c>
      <c r="BD6" s="5" t="s">
        <v>162</v>
      </c>
      <c r="BE6" s="5">
        <v>3.87</v>
      </c>
      <c r="BF6" s="5">
        <v>0</v>
      </c>
      <c r="BG6" s="6">
        <v>0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 t="shared" si="0"/>
        <v>armor_brigade = {</v>
      </c>
      <c r="BO6" s="2" t="str">
        <f t="shared" si="62"/>
        <v/>
      </c>
      <c r="BP6" s="2" t="str">
        <f t="shared" si="1"/>
        <v/>
      </c>
      <c r="BQ6" s="2" t="str">
        <f t="shared" si="2"/>
        <v/>
      </c>
      <c r="BR6" s="2" t="str">
        <f t="shared" si="3"/>
        <v/>
      </c>
      <c r="BS6" s="2" t="str">
        <f t="shared" si="4"/>
        <v xml:space="preserve">
forest = {
attack = -0.30
movement = -0.40
defence = -0.40
}</v>
      </c>
      <c r="BT6" s="2" t="str">
        <f t="shared" si="5"/>
        <v/>
      </c>
      <c r="BU6" s="2" t="str">
        <f t="shared" si="6"/>
        <v xml:space="preserve">
hills = {
attack = -0.10
movement = -0.10
defence = -0.30
}</v>
      </c>
      <c r="BV6" s="2" t="str">
        <f t="shared" si="7"/>
        <v xml:space="preserve">
jungle = {
attack = -0.40
movement = -0.40
defence = -0.60
}</v>
      </c>
      <c r="BW6" s="2" t="str">
        <f t="shared" si="8"/>
        <v xml:space="preserve">
marsh = {
attack = -0.40
movement = -0.80
defence = -0.60
}</v>
      </c>
      <c r="BX6" s="2" t="str">
        <f t="shared" si="9"/>
        <v xml:space="preserve">
mountain = {
attack = -0.30
movement = -0.40
defence = -0.70
}</v>
      </c>
      <c r="BY6" s="2" t="str">
        <f t="shared" si="10"/>
        <v/>
      </c>
      <c r="BZ6" s="2" t="str">
        <f t="shared" si="11"/>
        <v/>
      </c>
      <c r="CA6" s="2" t="str">
        <f t="shared" si="12"/>
        <v/>
      </c>
      <c r="CB6" s="2" t="str">
        <f t="shared" si="13"/>
        <v xml:space="preserve">
urban = {
attack = -0.40
defence = -0.70
}</v>
      </c>
      <c r="CC6" s="2" t="str">
        <f t="shared" si="14"/>
        <v xml:space="preserve">
woods = {
attack = -0.10
movement = -0.10
defence = -0.30
}</v>
      </c>
      <c r="CD6" s="2" t="str">
        <f t="shared" si="15"/>
        <v>active = no</v>
      </c>
      <c r="CE6" s="2" t="str">
        <f t="shared" si="16"/>
        <v>air_attack = 0.33</v>
      </c>
      <c r="CF6" s="2" t="str">
        <f t="shared" si="17"/>
        <v>air_defence = 0.80</v>
      </c>
      <c r="CG6" s="2" t="str">
        <f t="shared" si="18"/>
        <v>amphibious = { attack = -0.60 }</v>
      </c>
      <c r="CH6" s="2" t="str">
        <f t="shared" si="19"/>
        <v>ap_attack = 5</v>
      </c>
      <c r="CI6" s="2" t="str">
        <f t="shared" si="20"/>
        <v/>
      </c>
      <c r="CJ6" s="2" t="str">
        <f t="shared" si="21"/>
        <v>armor_value = 5</v>
      </c>
      <c r="CK6" s="2" t="str">
        <f t="shared" si="22"/>
        <v>build_cost_ic = 12</v>
      </c>
      <c r="CL6" s="2" t="str">
        <f t="shared" si="23"/>
        <v>build_cost_manpower = 0.78</v>
      </c>
      <c r="CM6" s="2" t="str">
        <f t="shared" si="24"/>
        <v>build_time = 190</v>
      </c>
      <c r="CN6" s="2" t="str">
        <f t="shared" si="25"/>
        <v/>
      </c>
      <c r="CO6" s="2" t="str">
        <f t="shared" si="26"/>
        <v>combat_width = 0</v>
      </c>
      <c r="CP6" s="2" t="str">
        <f t="shared" si="27"/>
        <v>completion_size = 1</v>
      </c>
      <c r="CQ6" s="2" t="str">
        <f t="shared" si="28"/>
        <v>default_morale = 0.1</v>
      </c>
      <c r="CR6" s="2" t="str">
        <f t="shared" si="29"/>
        <v>default_organisation = 10</v>
      </c>
      <c r="CS6" s="2" t="str">
        <f t="shared" si="30"/>
        <v>defensiveness = 0</v>
      </c>
      <c r="CT6" s="2" t="str">
        <f t="shared" si="31"/>
        <v/>
      </c>
      <c r="CU6" s="2" t="str">
        <f t="shared" si="32"/>
        <v/>
      </c>
      <c r="CV6" s="2" t="str">
        <f t="shared" si="33"/>
        <v>fuel_consumption = 2</v>
      </c>
      <c r="CW6" s="2" t="str">
        <f t="shared" si="34"/>
        <v>hard_attack = 2.33</v>
      </c>
      <c r="CX6" s="2" t="str">
        <f t="shared" si="35"/>
        <v/>
      </c>
      <c r="CY6" s="2" t="str">
        <f t="shared" si="36"/>
        <v>is_armor = yes</v>
      </c>
      <c r="CZ6" s="2" t="str">
        <f t="shared" si="37"/>
        <v/>
      </c>
      <c r="DA6" s="2" t="str">
        <f t="shared" si="38"/>
        <v>is_mobile = yes</v>
      </c>
      <c r="DB6" s="2" t="str">
        <f t="shared" si="39"/>
        <v/>
      </c>
      <c r="DC6" s="2" t="str">
        <f t="shared" si="40"/>
        <v/>
      </c>
      <c r="DD6" s="2" t="str">
        <f t="shared" si="41"/>
        <v>max_strength = 10</v>
      </c>
      <c r="DE6" s="2" t="str">
        <f t="shared" si="42"/>
        <v>maximum_speed = 4</v>
      </c>
      <c r="DF6" s="2" t="str">
        <f t="shared" si="43"/>
        <v/>
      </c>
      <c r="DG6" s="2" t="str">
        <f t="shared" si="44"/>
        <v>officers = 100</v>
      </c>
      <c r="DH6" s="2" t="str">
        <f t="shared" si="45"/>
        <v>on_completion = armour_practical</v>
      </c>
      <c r="DI6" s="2" t="str">
        <f t="shared" si="46"/>
        <v/>
      </c>
      <c r="DJ6" s="2" t="str">
        <f t="shared" si="47"/>
        <v>priority = 10</v>
      </c>
      <c r="DK6" s="2" t="str">
        <f t="shared" si="48"/>
        <v>radio_strength = 1</v>
      </c>
      <c r="DL6" s="2" t="str">
        <f t="shared" si="49"/>
        <v>repair_cost_multiplier = 0.05</v>
      </c>
      <c r="DM6" s="2" t="str">
        <f t="shared" si="50"/>
        <v>river = { attack = -0.05 }</v>
      </c>
      <c r="DN6" s="2" t="str">
        <f t="shared" si="51"/>
        <v>soft_attack = 2</v>
      </c>
      <c r="DO6" s="2" t="str">
        <f t="shared" si="52"/>
        <v>softness = 0.15</v>
      </c>
      <c r="DP6" s="2" t="str">
        <f t="shared" si="53"/>
        <v>sprite = Tank</v>
      </c>
      <c r="DQ6" s="2" t="str">
        <f t="shared" si="54"/>
        <v>supply_consumption = 3.87</v>
      </c>
      <c r="DR6" s="2" t="str">
        <f t="shared" si="55"/>
        <v>suppression = 0</v>
      </c>
      <c r="DS6" s="2" t="str">
        <f t="shared" si="56"/>
        <v>toughness = 0</v>
      </c>
      <c r="DT6" s="2" t="str">
        <f t="shared" si="57"/>
        <v>transport_weight = 20.00</v>
      </c>
      <c r="DU6" s="2" t="str">
        <f t="shared" si="58"/>
        <v>type = land</v>
      </c>
      <c r="DV6" s="2" t="str">
        <f t="shared" si="59"/>
        <v>unit_group = armor_unit_type</v>
      </c>
      <c r="DW6" s="2" t="str">
        <f t="shared" si="60"/>
        <v/>
      </c>
      <c r="DX6" s="2" t="str">
        <f t="shared" si="61"/>
        <v/>
      </c>
      <c r="DY6" s="2" t="s">
        <v>0</v>
      </c>
      <c r="DZ6" s="2" t="str">
        <f t="shared" si="63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0.33
air_defence = 0.80
amphibious = { attack = -0.60 }
ap_attack = 5
armor_value = 5
build_cost_ic = 12
build_cost_manpower = 0.78
build_time = 190
combat_width = 0
completion_size = 1
default_morale = 0.1
default_organisation = 10
defensiveness = 0
fuel_consumption = 2
hard_attack = 2.33
is_armor = yes
is_mobile = yes
max_strength = 10
maximum_speed = 4
officers = 100
on_completion = armour_practical
priority = 10
radio_strength = 1
repair_cost_multiplier = 0.05
river = { attack = -0.05 }
soft_attack = 2
softness = 0.15
sprite = Tank
supply_consumption = 3.87
suppression = 0
toughness = 0
transport_weight = 20.00
type = land
unit_group = armor_unit_type
}
</v>
      </c>
    </row>
    <row r="7" spans="1:130" x14ac:dyDescent="0.25">
      <c r="A7" s="2" t="str">
        <f t="shared" ca="1" si="64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5" t="s">
        <v>100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 t="shared" si="0"/>
        <v>armored_car_brigade = {</v>
      </c>
      <c r="BO7" s="2" t="str">
        <f t="shared" si="62"/>
        <v/>
      </c>
      <c r="BP7" s="2" t="str">
        <f t="shared" si="1"/>
        <v xml:space="preserve">
arctic = {
movement = 0.20
}</v>
      </c>
      <c r="BQ7" s="2" t="str">
        <f t="shared" si="2"/>
        <v/>
      </c>
      <c r="BR7" s="2" t="str">
        <f t="shared" si="3"/>
        <v xml:space="preserve">
desert = {
movement = 0.40
}</v>
      </c>
      <c r="BS7" s="2" t="str">
        <f t="shared" si="4"/>
        <v xml:space="preserve">
forest = {
attack = -0.20
defence = -0.15
movement = 0.10
}</v>
      </c>
      <c r="BT7" s="2" t="str">
        <f t="shared" si="5"/>
        <v/>
      </c>
      <c r="BU7" s="2" t="str">
        <f t="shared" si="6"/>
        <v xml:space="preserve">
hills = {
defence = -0.1
movement = 0.20
}</v>
      </c>
      <c r="BV7" s="2" t="str">
        <f t="shared" si="7"/>
        <v xml:space="preserve">
jungle = {
attack = -0.30
defence = -0.25
movement = 0.05
}</v>
      </c>
      <c r="BW7" s="2" t="str">
        <f t="shared" si="8"/>
        <v xml:space="preserve">
marsh = {
attack = -0.10
defence = -0.25
movement = -0.10
}</v>
      </c>
      <c r="BX7" s="2" t="str">
        <f t="shared" si="9"/>
        <v xml:space="preserve">
mountain = {
attack = -0.05
movement = 0.10
defence = -0.30
}</v>
      </c>
      <c r="BY7" s="2" t="str">
        <f t="shared" si="10"/>
        <v/>
      </c>
      <c r="BZ7" s="2" t="str">
        <f t="shared" si="11"/>
        <v xml:space="preserve">
plains = {
movement = 0.40
}</v>
      </c>
      <c r="CA7" s="2" t="str">
        <f t="shared" si="12"/>
        <v/>
      </c>
      <c r="CB7" s="2" t="str">
        <f t="shared" si="13"/>
        <v xml:space="preserve">
urban = {
attack = -0.20
defence = -0.30
movement = 0.40
}</v>
      </c>
      <c r="CC7" s="2" t="str">
        <f t="shared" si="14"/>
        <v xml:space="preserve">
woods = {
attack = -0.05
movement = 0.15
defence = -0.10
}</v>
      </c>
      <c r="CD7" s="2" t="str">
        <f t="shared" si="15"/>
        <v>active = no</v>
      </c>
      <c r="CE7" s="2" t="str">
        <f t="shared" si="16"/>
        <v>air_attack = 0.10</v>
      </c>
      <c r="CF7" s="2" t="str">
        <f t="shared" si="17"/>
        <v>air_defence = 1.00</v>
      </c>
      <c r="CG7" s="2" t="str">
        <f t="shared" si="18"/>
        <v>amphibious = { attack = -0.40 }</v>
      </c>
      <c r="CH7" s="2" t="str">
        <f t="shared" si="19"/>
        <v/>
      </c>
      <c r="CI7" s="2" t="str">
        <f t="shared" si="20"/>
        <v/>
      </c>
      <c r="CJ7" s="2" t="str">
        <f t="shared" si="21"/>
        <v>armor_value = 1</v>
      </c>
      <c r="CK7" s="2" t="str">
        <f t="shared" si="22"/>
        <v>build_cost_ic = 5</v>
      </c>
      <c r="CL7" s="2" t="str">
        <f t="shared" si="23"/>
        <v>build_cost_manpower = 1.67</v>
      </c>
      <c r="CM7" s="2" t="str">
        <f t="shared" si="24"/>
        <v>build_time = 110</v>
      </c>
      <c r="CN7" s="2" t="str">
        <f t="shared" si="25"/>
        <v/>
      </c>
      <c r="CO7" s="2" t="str">
        <f t="shared" si="26"/>
        <v>combat_width = 0</v>
      </c>
      <c r="CP7" s="2" t="str">
        <f t="shared" si="27"/>
        <v>completion_size = 0.4</v>
      </c>
      <c r="CQ7" s="2" t="str">
        <f t="shared" si="28"/>
        <v>default_morale = 0.25</v>
      </c>
      <c r="CR7" s="2" t="str">
        <f t="shared" si="29"/>
        <v>default_organisation = 20</v>
      </c>
      <c r="CS7" s="2" t="str">
        <f t="shared" si="30"/>
        <v>defensiveness = 2.00</v>
      </c>
      <c r="CT7" s="2" t="str">
        <f t="shared" si="31"/>
        <v/>
      </c>
      <c r="CU7" s="2" t="str">
        <f t="shared" si="32"/>
        <v/>
      </c>
      <c r="CV7" s="2" t="str">
        <f t="shared" si="33"/>
        <v>fuel_consumption = 0.38</v>
      </c>
      <c r="CW7" s="2" t="str">
        <f t="shared" si="34"/>
        <v>hard_attack = 0.33</v>
      </c>
      <c r="CX7" s="2" t="str">
        <f t="shared" si="35"/>
        <v/>
      </c>
      <c r="CY7" s="2" t="str">
        <f t="shared" si="36"/>
        <v/>
      </c>
      <c r="CZ7" s="2" t="str">
        <f t="shared" si="37"/>
        <v/>
      </c>
      <c r="DA7" s="2" t="str">
        <f t="shared" si="38"/>
        <v>is_mobile = yes</v>
      </c>
      <c r="DB7" s="2" t="str">
        <f t="shared" si="39"/>
        <v/>
      </c>
      <c r="DC7" s="2" t="str">
        <f t="shared" si="40"/>
        <v/>
      </c>
      <c r="DD7" s="2" t="str">
        <f t="shared" si="41"/>
        <v>max_strength = 10</v>
      </c>
      <c r="DE7" s="2" t="str">
        <f t="shared" si="42"/>
        <v>maximum_speed = 9.00</v>
      </c>
      <c r="DF7" s="2" t="str">
        <f t="shared" si="43"/>
        <v/>
      </c>
      <c r="DG7" s="2" t="str">
        <f t="shared" si="44"/>
        <v>officers = 100</v>
      </c>
      <c r="DH7" s="2" t="str">
        <f t="shared" si="45"/>
        <v>on_completion = mobile_practical</v>
      </c>
      <c r="DI7" s="2" t="str">
        <f t="shared" si="46"/>
        <v/>
      </c>
      <c r="DJ7" s="2" t="str">
        <f t="shared" si="47"/>
        <v>priority = 4</v>
      </c>
      <c r="DK7" s="2" t="str">
        <f t="shared" si="48"/>
        <v>radio_strength = 1</v>
      </c>
      <c r="DL7" s="2" t="str">
        <f t="shared" si="49"/>
        <v>repair_cost_multiplier = 0.05</v>
      </c>
      <c r="DM7" s="2" t="str">
        <f t="shared" si="50"/>
        <v>river = { attack = -0.05 }</v>
      </c>
      <c r="DN7" s="2" t="str">
        <f t="shared" si="51"/>
        <v>soft_attack = 2.00</v>
      </c>
      <c r="DO7" s="2" t="str">
        <f t="shared" si="52"/>
        <v>softness = 0.45</v>
      </c>
      <c r="DP7" s="2" t="str">
        <f t="shared" si="53"/>
        <v>sprite = Infantry</v>
      </c>
      <c r="DQ7" s="2" t="str">
        <f t="shared" si="54"/>
        <v>supply_consumption = 1.17</v>
      </c>
      <c r="DR7" s="2" t="str">
        <f t="shared" si="55"/>
        <v>suppression = 1</v>
      </c>
      <c r="DS7" s="2" t="str">
        <f t="shared" si="56"/>
        <v>toughness = 1.87</v>
      </c>
      <c r="DT7" s="2" t="str">
        <f t="shared" si="57"/>
        <v>transport_weight = 5.00</v>
      </c>
      <c r="DU7" s="2" t="str">
        <f t="shared" si="58"/>
        <v>type = land</v>
      </c>
      <c r="DV7" s="2" t="str">
        <f t="shared" si="59"/>
        <v>unit_group = armor_unit_type</v>
      </c>
      <c r="DW7" s="2" t="str">
        <f t="shared" si="60"/>
        <v/>
      </c>
      <c r="DX7" s="2" t="str">
        <f t="shared" si="61"/>
        <v/>
      </c>
      <c r="DY7" s="2" t="s">
        <v>0</v>
      </c>
      <c r="DZ7" s="2" t="str">
        <f t="shared" si="63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0.10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4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90</v>
      </c>
      <c r="S8" s="5" t="s">
        <v>100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 t="shared" si="0"/>
        <v>artillery_brigade = {</v>
      </c>
      <c r="BO8" s="2" t="str">
        <f t="shared" si="62"/>
        <v/>
      </c>
      <c r="BP8" s="2" t="str">
        <f t="shared" si="1"/>
        <v/>
      </c>
      <c r="BQ8" s="2" t="str">
        <f t="shared" si="2"/>
        <v/>
      </c>
      <c r="BR8" s="2" t="str">
        <f t="shared" si="3"/>
        <v/>
      </c>
      <c r="BS8" s="2" t="str">
        <f t="shared" si="4"/>
        <v xml:space="preserve">
forest = {
attack = -0.20
movement = -0.20
}</v>
      </c>
      <c r="BT8" s="2" t="str">
        <f t="shared" si="5"/>
        <v/>
      </c>
      <c r="BU8" s="2" t="str">
        <f t="shared" si="6"/>
        <v xml:space="preserve">
hills = {
attack = -0.10
movement = -0.10
}</v>
      </c>
      <c r="BV8" s="2" t="str">
        <f t="shared" si="7"/>
        <v xml:space="preserve">
jungle = {
attack = -0.30
movement = -0.30
}</v>
      </c>
      <c r="BW8" s="2" t="str">
        <f t="shared" si="8"/>
        <v xml:space="preserve">
marsh = {
attack = -0.20
movement = -0.70
}</v>
      </c>
      <c r="BX8" s="2" t="str">
        <f t="shared" si="9"/>
        <v xml:space="preserve">
mountain = {
attack = -0.20
movement = -0.70
}</v>
      </c>
      <c r="BY8" s="2" t="str">
        <f t="shared" si="10"/>
        <v/>
      </c>
      <c r="BZ8" s="2" t="str">
        <f t="shared" si="11"/>
        <v/>
      </c>
      <c r="CA8" s="2" t="str">
        <f t="shared" si="12"/>
        <v/>
      </c>
      <c r="CB8" s="2" t="str">
        <f t="shared" si="13"/>
        <v xml:space="preserve">
urban = {
attack = -0.20
}</v>
      </c>
      <c r="CC8" s="2" t="str">
        <f t="shared" si="14"/>
        <v xml:space="preserve">
woods = {
attack = -0.10
movement = -0.10
}</v>
      </c>
      <c r="CD8" s="2" t="str">
        <f t="shared" si="15"/>
        <v>active = no</v>
      </c>
      <c r="CE8" s="2" t="str">
        <f t="shared" si="16"/>
        <v>air_attack = 0.10</v>
      </c>
      <c r="CF8" s="2" t="str">
        <f t="shared" si="17"/>
        <v>air_defence = 1.50</v>
      </c>
      <c r="CG8" s="2" t="str">
        <f t="shared" si="18"/>
        <v>amphibious = { attack = -0.80 }</v>
      </c>
      <c r="CH8" s="2" t="str">
        <f t="shared" si="19"/>
        <v/>
      </c>
      <c r="CI8" s="2" t="str">
        <f t="shared" si="20"/>
        <v/>
      </c>
      <c r="CJ8" s="2" t="str">
        <f t="shared" si="21"/>
        <v/>
      </c>
      <c r="CK8" s="2" t="str">
        <f t="shared" si="22"/>
        <v>build_cost_ic = 5</v>
      </c>
      <c r="CL8" s="2" t="str">
        <f t="shared" si="23"/>
        <v>build_cost_manpower = 2.66</v>
      </c>
      <c r="CM8" s="2" t="str">
        <f t="shared" si="24"/>
        <v>build_time = 100</v>
      </c>
      <c r="CN8" s="2" t="str">
        <f t="shared" si="25"/>
        <v/>
      </c>
      <c r="CO8" s="2" t="str">
        <f t="shared" si="26"/>
        <v>combat_width = 0</v>
      </c>
      <c r="CP8" s="2" t="str">
        <f t="shared" si="27"/>
        <v>completion_size = 0.4</v>
      </c>
      <c r="CQ8" s="2" t="str">
        <f t="shared" si="28"/>
        <v>default_morale = 0.25</v>
      </c>
      <c r="CR8" s="2" t="str">
        <f t="shared" si="29"/>
        <v>default_organisation = 20</v>
      </c>
      <c r="CS8" s="2" t="str">
        <f t="shared" si="30"/>
        <v>defensiveness = 1.67</v>
      </c>
      <c r="CT8" s="2" t="str">
        <f t="shared" si="31"/>
        <v/>
      </c>
      <c r="CU8" s="2" t="str">
        <f t="shared" si="32"/>
        <v>fort = { attack = 0.10 }</v>
      </c>
      <c r="CV8" s="2" t="str">
        <f t="shared" si="33"/>
        <v>fuel_consumption = 0.00</v>
      </c>
      <c r="CW8" s="2" t="str">
        <f t="shared" si="34"/>
        <v>hard_attack = 1.00</v>
      </c>
      <c r="CX8" s="2" t="str">
        <f t="shared" si="35"/>
        <v/>
      </c>
      <c r="CY8" s="2" t="str">
        <f t="shared" si="36"/>
        <v/>
      </c>
      <c r="CZ8" s="2" t="str">
        <f t="shared" si="37"/>
        <v/>
      </c>
      <c r="DA8" s="2" t="str">
        <f t="shared" si="38"/>
        <v/>
      </c>
      <c r="DB8" s="2" t="str">
        <f t="shared" si="39"/>
        <v/>
      </c>
      <c r="DC8" s="2" t="str">
        <f t="shared" si="40"/>
        <v/>
      </c>
      <c r="DD8" s="2" t="str">
        <f t="shared" si="41"/>
        <v>max_strength = 20</v>
      </c>
      <c r="DE8" s="2" t="str">
        <f t="shared" si="42"/>
        <v>maximum_speed = 4.00</v>
      </c>
      <c r="DF8" s="2" t="str">
        <f t="shared" si="43"/>
        <v/>
      </c>
      <c r="DG8" s="2" t="str">
        <f t="shared" si="44"/>
        <v>officers = 200</v>
      </c>
      <c r="DH8" s="2" t="str">
        <f t="shared" si="45"/>
        <v>on_completion = artillery_practical</v>
      </c>
      <c r="DI8" s="2" t="str">
        <f t="shared" si="46"/>
        <v/>
      </c>
      <c r="DJ8" s="2" t="str">
        <f t="shared" si="47"/>
        <v>priority = 3</v>
      </c>
      <c r="DK8" s="2" t="str">
        <f t="shared" si="48"/>
        <v>radio_strength = 1</v>
      </c>
      <c r="DL8" s="2" t="str">
        <f t="shared" si="49"/>
        <v>repair_cost_multiplier = 0.05</v>
      </c>
      <c r="DM8" s="2" t="str">
        <f t="shared" si="50"/>
        <v>river = { attack = -0.05 }</v>
      </c>
      <c r="DN8" s="2" t="str">
        <f t="shared" si="51"/>
        <v>soft_attack = 2.40</v>
      </c>
      <c r="DO8" s="2" t="str">
        <f t="shared" si="52"/>
        <v>softness = 0.90</v>
      </c>
      <c r="DP8" s="2" t="str">
        <f t="shared" si="53"/>
        <v>sprite = Infantry</v>
      </c>
      <c r="DQ8" s="2" t="str">
        <f t="shared" si="54"/>
        <v>supply_consumption = 2</v>
      </c>
      <c r="DR8" s="2" t="str">
        <f t="shared" si="55"/>
        <v>suppression = 0</v>
      </c>
      <c r="DS8" s="2" t="str">
        <f t="shared" si="56"/>
        <v>toughness = 0.7</v>
      </c>
      <c r="DT8" s="2" t="str">
        <f t="shared" si="57"/>
        <v>transport_weight = 10</v>
      </c>
      <c r="DU8" s="2" t="str">
        <f t="shared" si="58"/>
        <v>type = land</v>
      </c>
      <c r="DV8" s="2" t="str">
        <f t="shared" si="59"/>
        <v>unit_group = artillery_unit_type</v>
      </c>
      <c r="DW8" s="2" t="str">
        <f t="shared" si="60"/>
        <v/>
      </c>
      <c r="DX8" s="2" t="str">
        <f t="shared" si="61"/>
        <v/>
      </c>
      <c r="DY8" s="2" t="s">
        <v>0</v>
      </c>
      <c r="DZ8" s="2" t="str">
        <f t="shared" si="63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4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5" t="s">
        <v>107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 t="shared" si="0"/>
        <v>austrian_brigade = {</v>
      </c>
      <c r="BO9" s="2" t="str">
        <f t="shared" si="62"/>
        <v/>
      </c>
      <c r="BP9" s="2" t="str">
        <f t="shared" si="1"/>
        <v/>
      </c>
      <c r="BQ9" s="2" t="str">
        <f t="shared" si="2"/>
        <v/>
      </c>
      <c r="BR9" s="2" t="str">
        <f t="shared" si="3"/>
        <v/>
      </c>
      <c r="BS9" s="2" t="str">
        <f t="shared" si="4"/>
        <v xml:space="preserve">
forest = {
attack = 0.10
movement = 0.15
}</v>
      </c>
      <c r="BT9" s="2" t="str">
        <f t="shared" si="5"/>
        <v/>
      </c>
      <c r="BU9" s="2" t="str">
        <f t="shared" si="6"/>
        <v xml:space="preserve">
hills = {
attack = 0.05
movement = 0.05
}</v>
      </c>
      <c r="BV9" s="2" t="str">
        <f t="shared" si="7"/>
        <v xml:space="preserve">
jungle = {
attack = 0.10
movement = 0.15
}</v>
      </c>
      <c r="BW9" s="2" t="str">
        <f t="shared" si="8"/>
        <v/>
      </c>
      <c r="BX9" s="2" t="str">
        <f t="shared" si="9"/>
        <v/>
      </c>
      <c r="BY9" s="2" t="str">
        <f t="shared" si="10"/>
        <v xml:space="preserve">
night = {
attack = 0.10
defence = 0.10
movement = 0.10
}</v>
      </c>
      <c r="BZ9" s="2" t="str">
        <f t="shared" si="11"/>
        <v/>
      </c>
      <c r="CA9" s="2" t="str">
        <f t="shared" si="12"/>
        <v/>
      </c>
      <c r="CB9" s="2" t="str">
        <f t="shared" si="13"/>
        <v xml:space="preserve">
urban = {
attack = 0.20
defence = 0.15
}</v>
      </c>
      <c r="CC9" s="2" t="str">
        <f t="shared" si="14"/>
        <v xml:space="preserve">
woods = {
attack = 0.10
movement = 0.15
}</v>
      </c>
      <c r="CD9" s="2" t="str">
        <f t="shared" si="15"/>
        <v/>
      </c>
      <c r="CE9" s="2" t="str">
        <f t="shared" si="16"/>
        <v>air_attack = 0.33</v>
      </c>
      <c r="CF9" s="2" t="str">
        <f t="shared" si="17"/>
        <v>air_defence = 2.00</v>
      </c>
      <c r="CG9" s="2" t="str">
        <f t="shared" si="18"/>
        <v/>
      </c>
      <c r="CH9" s="2" t="str">
        <f t="shared" si="19"/>
        <v>ap_attack = 1</v>
      </c>
      <c r="CI9" s="2" t="str">
        <f t="shared" si="20"/>
        <v/>
      </c>
      <c r="CJ9" s="2" t="str">
        <f t="shared" si="21"/>
        <v/>
      </c>
      <c r="CK9" s="2" t="str">
        <f t="shared" si="22"/>
        <v>build_cost_ic = 10.9</v>
      </c>
      <c r="CL9" s="2" t="str">
        <f t="shared" si="23"/>
        <v>build_cost_manpower = 9.33</v>
      </c>
      <c r="CM9" s="2" t="str">
        <f t="shared" si="24"/>
        <v>build_time = 150</v>
      </c>
      <c r="CN9" s="2" t="str">
        <f t="shared" si="25"/>
        <v/>
      </c>
      <c r="CO9" s="2" t="str">
        <f t="shared" si="26"/>
        <v>combat_width = 2</v>
      </c>
      <c r="CP9" s="2" t="str">
        <f t="shared" si="27"/>
        <v>completion_size = 0.3</v>
      </c>
      <c r="CQ9" s="2" t="str">
        <f t="shared" si="28"/>
        <v>default_morale = 0.35</v>
      </c>
      <c r="CR9" s="2" t="str">
        <f t="shared" si="29"/>
        <v>default_organisation = 30</v>
      </c>
      <c r="CS9" s="2" t="str">
        <f t="shared" si="30"/>
        <v>defensiveness = 4.00</v>
      </c>
      <c r="CT9" s="2" t="str">
        <f t="shared" si="31"/>
        <v/>
      </c>
      <c r="CU9" s="2" t="str">
        <f t="shared" si="32"/>
        <v/>
      </c>
      <c r="CV9" s="2" t="str">
        <f t="shared" si="33"/>
        <v>fuel_consumption = 0.00</v>
      </c>
      <c r="CW9" s="2" t="str">
        <f t="shared" si="34"/>
        <v>hard_attack = 0.67</v>
      </c>
      <c r="CX9" s="2" t="str">
        <f t="shared" si="35"/>
        <v/>
      </c>
      <c r="CY9" s="2" t="str">
        <f t="shared" si="36"/>
        <v/>
      </c>
      <c r="CZ9" s="2" t="str">
        <f t="shared" si="37"/>
        <v/>
      </c>
      <c r="DA9" s="2" t="str">
        <f t="shared" si="38"/>
        <v/>
      </c>
      <c r="DB9" s="2" t="str">
        <f t="shared" si="39"/>
        <v/>
      </c>
      <c r="DC9" s="2" t="str">
        <f t="shared" si="40"/>
        <v>max_percentage_of_type = 0.04</v>
      </c>
      <c r="DD9" s="2" t="str">
        <f t="shared" si="41"/>
        <v>max_strength = 70</v>
      </c>
      <c r="DE9" s="2" t="str">
        <f t="shared" si="42"/>
        <v>maximum_speed = 4.00</v>
      </c>
      <c r="DF9" s="2" t="str">
        <f t="shared" si="43"/>
        <v>minimum_of_type = 6</v>
      </c>
      <c r="DG9" s="2" t="str">
        <f t="shared" si="44"/>
        <v>officers = 250</v>
      </c>
      <c r="DH9" s="2" t="str">
        <f t="shared" si="45"/>
        <v>on_completion = infantry_practical</v>
      </c>
      <c r="DI9" s="2" t="str">
        <f t="shared" si="46"/>
        <v/>
      </c>
      <c r="DJ9" s="2" t="str">
        <f t="shared" si="47"/>
        <v>priority = 9</v>
      </c>
      <c r="DK9" s="2" t="str">
        <f t="shared" si="48"/>
        <v>radio_strength = 1</v>
      </c>
      <c r="DL9" s="2" t="str">
        <f t="shared" si="49"/>
        <v>repair_cost_multiplier = 0.05</v>
      </c>
      <c r="DM9" s="2" t="str">
        <f t="shared" si="50"/>
        <v/>
      </c>
      <c r="DN9" s="2" t="str">
        <f t="shared" si="51"/>
        <v>soft_attack = 2.00</v>
      </c>
      <c r="DO9" s="2" t="str">
        <f t="shared" si="52"/>
        <v>softness = 1.00</v>
      </c>
      <c r="DP9" s="2" t="str">
        <f t="shared" si="53"/>
        <v>sprite = Elite</v>
      </c>
      <c r="DQ9" s="2" t="str">
        <f t="shared" si="54"/>
        <v>supply_consumption = 1.56</v>
      </c>
      <c r="DR9" s="2" t="str">
        <f t="shared" si="55"/>
        <v>suppression = 6</v>
      </c>
      <c r="DS9" s="2" t="str">
        <f t="shared" si="56"/>
        <v>toughness = 2.1</v>
      </c>
      <c r="DT9" s="2" t="str">
        <f t="shared" si="57"/>
        <v>transport_weight = 10</v>
      </c>
      <c r="DU9" s="2" t="str">
        <f t="shared" si="58"/>
        <v>type = land</v>
      </c>
      <c r="DV9" s="2" t="str">
        <f t="shared" si="59"/>
        <v>unit_group = infantry_unit_type</v>
      </c>
      <c r="DW9" s="2" t="str">
        <f t="shared" si="60"/>
        <v/>
      </c>
      <c r="DX9" s="2" t="str">
        <f t="shared" si="61"/>
        <v>usable_by = { AUH }</v>
      </c>
      <c r="DY9" s="2" t="s">
        <v>0</v>
      </c>
      <c r="DZ9" s="2" t="str">
        <f t="shared" si="63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4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5" t="s">
        <v>100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 t="shared" si="0"/>
        <v>bergsjaeger_brigade = {</v>
      </c>
      <c r="BO10" s="2" t="str">
        <f t="shared" si="62"/>
        <v/>
      </c>
      <c r="BP10" s="2" t="str">
        <f t="shared" si="1"/>
        <v xml:space="preserve">
arctic = {
attack = 0.50
defence = 0.20
movement = 0.20
}</v>
      </c>
      <c r="BQ10" s="2" t="str">
        <f t="shared" si="2"/>
        <v/>
      </c>
      <c r="BR10" s="2" t="str">
        <f t="shared" si="3"/>
        <v/>
      </c>
      <c r="BS10" s="2" t="str">
        <f t="shared" si="4"/>
        <v xml:space="preserve">
forest = {
attack = 0.10
movement = 0.10
}</v>
      </c>
      <c r="BT10" s="2" t="str">
        <f t="shared" si="5"/>
        <v/>
      </c>
      <c r="BU10" s="2" t="str">
        <f t="shared" si="6"/>
        <v xml:space="preserve">
hills = {
attack = 0.40
defence = 0.10
movement = 0.10
}</v>
      </c>
      <c r="BV10" s="2" t="str">
        <f t="shared" si="7"/>
        <v xml:space="preserve">
jungle = {
attack = 0.10
movement = 0.10
}</v>
      </c>
      <c r="BW10" s="2" t="str">
        <f t="shared" si="8"/>
        <v/>
      </c>
      <c r="BX10" s="2" t="str">
        <f t="shared" si="9"/>
        <v xml:space="preserve">
mountain = {
attack = 0.50
defence = 0.20
movement = 0.10
}</v>
      </c>
      <c r="BY10" s="2" t="str">
        <f t="shared" si="10"/>
        <v/>
      </c>
      <c r="BZ10" s="2" t="str">
        <f t="shared" si="11"/>
        <v/>
      </c>
      <c r="CA10" s="2" t="str">
        <f t="shared" si="12"/>
        <v/>
      </c>
      <c r="CB10" s="2" t="str">
        <f t="shared" si="13"/>
        <v/>
      </c>
      <c r="CC10" s="2" t="str">
        <f t="shared" si="14"/>
        <v xml:space="preserve">
woods = {
attack = 0.05
movement = 0.05
}</v>
      </c>
      <c r="CD10" s="2" t="str">
        <f t="shared" si="15"/>
        <v>active = no</v>
      </c>
      <c r="CE10" s="2" t="str">
        <f t="shared" si="16"/>
        <v>air_attack = 0.10</v>
      </c>
      <c r="CF10" s="2" t="str">
        <f t="shared" si="17"/>
        <v>air_defence = 2.50</v>
      </c>
      <c r="CG10" s="2" t="str">
        <f t="shared" si="18"/>
        <v/>
      </c>
      <c r="CH10" s="2" t="str">
        <f t="shared" si="19"/>
        <v>ap_attack = 0.5</v>
      </c>
      <c r="CI10" s="2" t="str">
        <f t="shared" si="20"/>
        <v/>
      </c>
      <c r="CJ10" s="2" t="str">
        <f t="shared" si="21"/>
        <v/>
      </c>
      <c r="CK10" s="2" t="str">
        <f t="shared" si="22"/>
        <v>build_cost_ic = 6.23</v>
      </c>
      <c r="CL10" s="2" t="str">
        <f t="shared" si="23"/>
        <v>build_cost_manpower = 9.33</v>
      </c>
      <c r="CM10" s="2" t="str">
        <f t="shared" si="24"/>
        <v>build_time = 150</v>
      </c>
      <c r="CN10" s="2" t="str">
        <f t="shared" si="25"/>
        <v/>
      </c>
      <c r="CO10" s="2" t="str">
        <f t="shared" si="26"/>
        <v>combat_width = 2</v>
      </c>
      <c r="CP10" s="2" t="str">
        <f t="shared" si="27"/>
        <v>completion_size = 0.3</v>
      </c>
      <c r="CQ10" s="2" t="str">
        <f t="shared" si="28"/>
        <v>default_morale = 0.35</v>
      </c>
      <c r="CR10" s="2" t="str">
        <f t="shared" si="29"/>
        <v>default_organisation = 30</v>
      </c>
      <c r="CS10" s="2" t="str">
        <f t="shared" si="30"/>
        <v>defensiveness = 4.00</v>
      </c>
      <c r="CT10" s="2" t="str">
        <f t="shared" si="31"/>
        <v/>
      </c>
      <c r="CU10" s="2" t="str">
        <f t="shared" si="32"/>
        <v/>
      </c>
      <c r="CV10" s="2" t="str">
        <f t="shared" si="33"/>
        <v>fuel_consumption = 0.00</v>
      </c>
      <c r="CW10" s="2" t="str">
        <f t="shared" si="34"/>
        <v>hard_attack = 0.33</v>
      </c>
      <c r="CX10" s="2" t="str">
        <f t="shared" si="35"/>
        <v/>
      </c>
      <c r="CY10" s="2" t="str">
        <f t="shared" si="36"/>
        <v/>
      </c>
      <c r="CZ10" s="2" t="str">
        <f t="shared" si="37"/>
        <v/>
      </c>
      <c r="DA10" s="2" t="str">
        <f t="shared" si="38"/>
        <v/>
      </c>
      <c r="DB10" s="2" t="str">
        <f t="shared" si="39"/>
        <v/>
      </c>
      <c r="DC10" s="2" t="str">
        <f t="shared" si="40"/>
        <v>max_percentage_of_type = 0.04</v>
      </c>
      <c r="DD10" s="2" t="str">
        <f t="shared" si="41"/>
        <v>max_strength = 70</v>
      </c>
      <c r="DE10" s="2" t="str">
        <f t="shared" si="42"/>
        <v>maximum_speed = 4.33</v>
      </c>
      <c r="DF10" s="2" t="str">
        <f t="shared" si="43"/>
        <v>minimum_of_type = 6</v>
      </c>
      <c r="DG10" s="2" t="str">
        <f t="shared" si="44"/>
        <v>officers = 250</v>
      </c>
      <c r="DH10" s="2" t="str">
        <f t="shared" si="45"/>
        <v>on_completion = infantry_practical</v>
      </c>
      <c r="DI10" s="2" t="str">
        <f t="shared" si="46"/>
        <v/>
      </c>
      <c r="DJ10" s="2" t="str">
        <f t="shared" si="47"/>
        <v>priority = 8</v>
      </c>
      <c r="DK10" s="2" t="str">
        <f t="shared" si="48"/>
        <v>radio_strength = 1</v>
      </c>
      <c r="DL10" s="2" t="str">
        <f t="shared" si="49"/>
        <v>repair_cost_multiplier = 0.05</v>
      </c>
      <c r="DM10" s="2" t="str">
        <f t="shared" si="50"/>
        <v/>
      </c>
      <c r="DN10" s="2" t="str">
        <f t="shared" si="51"/>
        <v>soft_attack = 1.67</v>
      </c>
      <c r="DO10" s="2" t="str">
        <f t="shared" si="52"/>
        <v>softness = 1.00</v>
      </c>
      <c r="DP10" s="2" t="str">
        <f t="shared" si="53"/>
        <v>sprite = Infantry</v>
      </c>
      <c r="DQ10" s="2" t="str">
        <f t="shared" si="54"/>
        <v>supply_consumption = 1.56</v>
      </c>
      <c r="DR10" s="2" t="str">
        <f t="shared" si="55"/>
        <v>suppression = 1.34</v>
      </c>
      <c r="DS10" s="2" t="str">
        <f t="shared" si="56"/>
        <v>toughness = 2.33</v>
      </c>
      <c r="DT10" s="2" t="str">
        <f t="shared" si="57"/>
        <v>transport_weight = 16</v>
      </c>
      <c r="DU10" s="2" t="str">
        <f t="shared" si="58"/>
        <v>type = land</v>
      </c>
      <c r="DV10" s="2" t="str">
        <f t="shared" si="59"/>
        <v>unit_group = infantry_unit_type</v>
      </c>
      <c r="DW10" s="2" t="str">
        <f t="shared" si="60"/>
        <v/>
      </c>
      <c r="DX10" s="2" t="str">
        <f t="shared" si="61"/>
        <v/>
      </c>
      <c r="DY10" s="2" t="s">
        <v>0</v>
      </c>
      <c r="DZ10" s="2" t="str">
        <f t="shared" si="63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0.10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4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5" t="s">
        <v>107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 t="shared" si="0"/>
        <v>cavalry_brigade = {</v>
      </c>
      <c r="BO11" s="2" t="str">
        <f t="shared" si="62"/>
        <v/>
      </c>
      <c r="BP11" s="2" t="str">
        <f t="shared" si="1"/>
        <v/>
      </c>
      <c r="BQ11" s="2" t="str">
        <f t="shared" si="2"/>
        <v/>
      </c>
      <c r="BR11" s="2" t="str">
        <f t="shared" si="3"/>
        <v/>
      </c>
      <c r="BS11" s="2" t="str">
        <f t="shared" si="4"/>
        <v/>
      </c>
      <c r="BT11" s="2" t="str">
        <f t="shared" si="5"/>
        <v/>
      </c>
      <c r="BU11" s="2" t="str">
        <f t="shared" si="6"/>
        <v/>
      </c>
      <c r="BV11" s="2" t="str">
        <f t="shared" si="7"/>
        <v/>
      </c>
      <c r="BW11" s="2" t="str">
        <f t="shared" si="8"/>
        <v/>
      </c>
      <c r="BX11" s="2" t="str">
        <f t="shared" si="9"/>
        <v xml:space="preserve">
mountain = {
attack = -0.10
movement = -0.05
}</v>
      </c>
      <c r="BY11" s="2" t="str">
        <f t="shared" si="10"/>
        <v/>
      </c>
      <c r="BZ11" s="2" t="str">
        <f t="shared" si="11"/>
        <v/>
      </c>
      <c r="CA11" s="2" t="str">
        <f t="shared" si="12"/>
        <v/>
      </c>
      <c r="CB11" s="2" t="str">
        <f t="shared" si="13"/>
        <v/>
      </c>
      <c r="CC11" s="2" t="str">
        <f t="shared" si="14"/>
        <v/>
      </c>
      <c r="CD11" s="2" t="str">
        <f t="shared" si="15"/>
        <v/>
      </c>
      <c r="CE11" s="2" t="str">
        <f t="shared" si="16"/>
        <v>air_attack = 0.33</v>
      </c>
      <c r="CF11" s="2" t="str">
        <f t="shared" si="17"/>
        <v>air_defence = 1.60</v>
      </c>
      <c r="CG11" s="2" t="str">
        <f t="shared" si="18"/>
        <v>amphibious = { attack = -0.40 }</v>
      </c>
      <c r="CH11" s="2" t="str">
        <f t="shared" si="19"/>
        <v>ap_attack = 0.5</v>
      </c>
      <c r="CI11" s="2" t="str">
        <f t="shared" si="20"/>
        <v/>
      </c>
      <c r="CJ11" s="2" t="str">
        <f t="shared" si="21"/>
        <v/>
      </c>
      <c r="CK11" s="2" t="str">
        <f t="shared" si="22"/>
        <v>build_cost_ic = 1</v>
      </c>
      <c r="CL11" s="2" t="str">
        <f t="shared" si="23"/>
        <v>build_cost_manpower = 1.5</v>
      </c>
      <c r="CM11" s="2" t="str">
        <f t="shared" si="24"/>
        <v>build_time = 110</v>
      </c>
      <c r="CN11" s="2" t="str">
        <f t="shared" si="25"/>
        <v/>
      </c>
      <c r="CO11" s="2" t="str">
        <f t="shared" si="26"/>
        <v>combat_width = 1</v>
      </c>
      <c r="CP11" s="2" t="str">
        <f t="shared" si="27"/>
        <v>completion_size = 0.2</v>
      </c>
      <c r="CQ11" s="2" t="str">
        <f t="shared" si="28"/>
        <v>default_morale = 0.25</v>
      </c>
      <c r="CR11" s="2" t="str">
        <f t="shared" si="29"/>
        <v>default_organisation = 20</v>
      </c>
      <c r="CS11" s="2" t="str">
        <f t="shared" si="30"/>
        <v>defensiveness = 2.00</v>
      </c>
      <c r="CT11" s="2" t="str">
        <f t="shared" si="31"/>
        <v>forest = { attack = -0.05 }</v>
      </c>
      <c r="CU11" s="2" t="str">
        <f t="shared" si="32"/>
        <v/>
      </c>
      <c r="CV11" s="2" t="str">
        <f t="shared" si="33"/>
        <v>fuel_consumption = 0.00</v>
      </c>
      <c r="CW11" s="2" t="str">
        <f t="shared" si="34"/>
        <v>hard_attack = 0.00</v>
      </c>
      <c r="CX11" s="2" t="str">
        <f t="shared" si="35"/>
        <v>hills = { attack = -0.05 }</v>
      </c>
      <c r="CY11" s="2" t="str">
        <f t="shared" si="36"/>
        <v/>
      </c>
      <c r="CZ11" s="2" t="str">
        <f t="shared" si="37"/>
        <v/>
      </c>
      <c r="DA11" s="2" t="str">
        <f t="shared" si="38"/>
        <v/>
      </c>
      <c r="DB11" s="2" t="str">
        <f t="shared" si="39"/>
        <v>jungle = { attack = -0.10 }</v>
      </c>
      <c r="DC11" s="2" t="str">
        <f t="shared" si="40"/>
        <v/>
      </c>
      <c r="DD11" s="2" t="str">
        <f t="shared" si="41"/>
        <v>max_strength = 15</v>
      </c>
      <c r="DE11" s="2" t="str">
        <f t="shared" si="42"/>
        <v>maximum_speed = 6.00</v>
      </c>
      <c r="DF11" s="2" t="str">
        <f t="shared" si="43"/>
        <v/>
      </c>
      <c r="DG11" s="2" t="str">
        <f t="shared" si="44"/>
        <v>officers = 50</v>
      </c>
      <c r="DH11" s="2" t="str">
        <f t="shared" si="45"/>
        <v>on_completion = mobile_practical</v>
      </c>
      <c r="DI11" s="2" t="str">
        <f t="shared" si="46"/>
        <v/>
      </c>
      <c r="DJ11" s="2" t="str">
        <f t="shared" si="47"/>
        <v>priority = 6</v>
      </c>
      <c r="DK11" s="2" t="str">
        <f t="shared" si="48"/>
        <v>radio_strength = 1</v>
      </c>
      <c r="DL11" s="2" t="str">
        <f t="shared" si="49"/>
        <v>repair_cost_multiplier = 0.05</v>
      </c>
      <c r="DM11" s="2" t="str">
        <f t="shared" si="50"/>
        <v/>
      </c>
      <c r="DN11" s="2" t="str">
        <f t="shared" si="51"/>
        <v>soft_attack = 1.67</v>
      </c>
      <c r="DO11" s="2" t="str">
        <f t="shared" si="52"/>
        <v>softness = 1.00</v>
      </c>
      <c r="DP11" s="2" t="str">
        <f t="shared" si="53"/>
        <v>sprite = Cavalry</v>
      </c>
      <c r="DQ11" s="2" t="str">
        <f t="shared" si="54"/>
        <v>supply_consumption = 2.33</v>
      </c>
      <c r="DR11" s="2" t="str">
        <f t="shared" si="55"/>
        <v>suppression = 2</v>
      </c>
      <c r="DS11" s="2" t="str">
        <f t="shared" si="56"/>
        <v>toughness = 1.87</v>
      </c>
      <c r="DT11" s="2" t="str">
        <f t="shared" si="57"/>
        <v>transport_weight = 7.5</v>
      </c>
      <c r="DU11" s="2" t="str">
        <f t="shared" si="58"/>
        <v>type = land</v>
      </c>
      <c r="DV11" s="2" t="str">
        <f t="shared" si="59"/>
        <v>unit_group = infantry_unit_type</v>
      </c>
      <c r="DW11" s="2" t="str">
        <f t="shared" si="60"/>
        <v/>
      </c>
      <c r="DX11" s="2" t="str">
        <f t="shared" si="61"/>
        <v/>
      </c>
      <c r="DY11" s="2" t="s">
        <v>0</v>
      </c>
      <c r="DZ11" s="2" t="str">
        <f t="shared" si="63"/>
        <v xml:space="preserve">cavalry_brigade = {
mountain = {
attack = -0.10
movement = -0.05
}
air_attack = 0.33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4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5" t="s">
        <v>106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 t="shared" si="0"/>
        <v>engineer_brigade = {</v>
      </c>
      <c r="BO12" s="2" t="str">
        <f t="shared" si="62"/>
        <v xml:space="preserve">
amphibious = {
attack = 0.4
}</v>
      </c>
      <c r="BP12" s="2" t="str">
        <f t="shared" si="1"/>
        <v xml:space="preserve">
arctic = {
defence = 0.5
}</v>
      </c>
      <c r="BQ12" s="2" t="str">
        <f t="shared" si="2"/>
        <v/>
      </c>
      <c r="BR12" s="2" t="str">
        <f t="shared" si="3"/>
        <v xml:space="preserve">
desert = {
defence = 0.5
}</v>
      </c>
      <c r="BS12" s="2" t="str">
        <f t="shared" si="4"/>
        <v/>
      </c>
      <c r="BT12" s="2" t="str">
        <f t="shared" si="5"/>
        <v xml:space="preserve">
fort = {
attack = 0.40
}</v>
      </c>
      <c r="BU12" s="2" t="str">
        <f t="shared" si="6"/>
        <v xml:space="preserve">
hills = {
defence = 0.5
}</v>
      </c>
      <c r="BV12" s="2" t="str">
        <f t="shared" si="7"/>
        <v/>
      </c>
      <c r="BW12" s="2" t="str">
        <f t="shared" si="8"/>
        <v xml:space="preserve">
marsh = {
movement = 0.2
attack = 0.2
defence = 0.3
}</v>
      </c>
      <c r="BX12" s="2" t="str">
        <f t="shared" si="9"/>
        <v xml:space="preserve">
mountain = {
defence = 0.5
}</v>
      </c>
      <c r="BY12" s="2" t="str">
        <f t="shared" si="10"/>
        <v/>
      </c>
      <c r="BZ12" s="2" t="str">
        <f t="shared" si="11"/>
        <v xml:space="preserve">
plains = {
defence = 0.5
}</v>
      </c>
      <c r="CA12" s="2" t="str">
        <f t="shared" si="12"/>
        <v xml:space="preserve">
river = {
attack = 0.6
defence = 1.0
}</v>
      </c>
      <c r="CB12" s="2" t="str">
        <f t="shared" si="13"/>
        <v xml:space="preserve">
urban = {
attack = 0.4
defence = 0.6
}</v>
      </c>
      <c r="CC12" s="2" t="str">
        <f t="shared" si="14"/>
        <v/>
      </c>
      <c r="CD12" s="2" t="str">
        <f t="shared" si="15"/>
        <v>active = no</v>
      </c>
      <c r="CE12" s="2" t="str">
        <f t="shared" si="16"/>
        <v>air_attack = 0.00</v>
      </c>
      <c r="CF12" s="2" t="str">
        <f t="shared" si="17"/>
        <v>air_defence = 2.00</v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2" t="str">
        <f t="shared" si="21"/>
        <v/>
      </c>
      <c r="CK12" s="2" t="str">
        <f t="shared" si="22"/>
        <v>build_cost_ic = 3.33</v>
      </c>
      <c r="CL12" s="2" t="str">
        <f t="shared" si="23"/>
        <v>build_cost_manpower = 1.33</v>
      </c>
      <c r="CM12" s="2" t="str">
        <f t="shared" si="24"/>
        <v>build_time = 140</v>
      </c>
      <c r="CN12" s="2" t="str">
        <f t="shared" si="25"/>
        <v/>
      </c>
      <c r="CO12" s="2" t="str">
        <f t="shared" si="26"/>
        <v>combat_width = 0</v>
      </c>
      <c r="CP12" s="2" t="str">
        <f t="shared" si="27"/>
        <v>completion_size = 0.3</v>
      </c>
      <c r="CQ12" s="2" t="str">
        <f t="shared" si="28"/>
        <v>default_morale = 0.25</v>
      </c>
      <c r="CR12" s="2" t="str">
        <f t="shared" si="29"/>
        <v>default_organisation = 20</v>
      </c>
      <c r="CS12" s="2" t="str">
        <f t="shared" si="30"/>
        <v>defensiveness = 3.00</v>
      </c>
      <c r="CT12" s="2" t="str">
        <f t="shared" si="31"/>
        <v/>
      </c>
      <c r="CU12" s="2" t="str">
        <f t="shared" si="32"/>
        <v/>
      </c>
      <c r="CV12" s="2" t="str">
        <f t="shared" si="33"/>
        <v>fuel_consumption = 0.38</v>
      </c>
      <c r="CW12" s="2" t="str">
        <f t="shared" si="34"/>
        <v>hard_attack = 0.67</v>
      </c>
      <c r="CX12" s="2" t="str">
        <f t="shared" si="35"/>
        <v/>
      </c>
      <c r="CY12" s="2" t="str">
        <f t="shared" si="36"/>
        <v/>
      </c>
      <c r="CZ12" s="2" t="str">
        <f t="shared" si="37"/>
        <v/>
      </c>
      <c r="DA12" s="2" t="str">
        <f t="shared" si="38"/>
        <v/>
      </c>
      <c r="DB12" s="2" t="str">
        <f t="shared" si="39"/>
        <v/>
      </c>
      <c r="DC12" s="2" t="str">
        <f t="shared" si="40"/>
        <v/>
      </c>
      <c r="DD12" s="2" t="str">
        <f t="shared" si="41"/>
        <v>max_strength = 10</v>
      </c>
      <c r="DE12" s="2" t="str">
        <f t="shared" si="42"/>
        <v>maximum_speed = 5</v>
      </c>
      <c r="DF12" s="2" t="str">
        <f t="shared" si="43"/>
        <v/>
      </c>
      <c r="DG12" s="2" t="str">
        <f t="shared" si="44"/>
        <v>officers = 100</v>
      </c>
      <c r="DH12" s="2" t="str">
        <f t="shared" si="45"/>
        <v>on_completion = infantry_practical</v>
      </c>
      <c r="DI12" s="2" t="str">
        <f t="shared" si="46"/>
        <v/>
      </c>
      <c r="DJ12" s="2" t="str">
        <f t="shared" si="47"/>
        <v>priority = 2</v>
      </c>
      <c r="DK12" s="2" t="str">
        <f t="shared" si="48"/>
        <v>radio_strength = 1</v>
      </c>
      <c r="DL12" s="2" t="str">
        <f t="shared" si="49"/>
        <v>repair_cost_multiplier = 0.05</v>
      </c>
      <c r="DM12" s="2" t="str">
        <f t="shared" si="50"/>
        <v/>
      </c>
      <c r="DN12" s="2" t="str">
        <f t="shared" si="51"/>
        <v>soft_attack = 0.33</v>
      </c>
      <c r="DO12" s="2" t="str">
        <f t="shared" si="52"/>
        <v>softness = 0.90</v>
      </c>
      <c r="DP12" s="2" t="str">
        <f t="shared" si="53"/>
        <v>sprite = Infantry</v>
      </c>
      <c r="DQ12" s="2" t="str">
        <f t="shared" si="54"/>
        <v>supply_consumption = 1.56</v>
      </c>
      <c r="DR12" s="2" t="str">
        <f t="shared" si="55"/>
        <v>suppression = 0.33</v>
      </c>
      <c r="DS12" s="2" t="str">
        <f t="shared" si="56"/>
        <v>toughness = 1.17</v>
      </c>
      <c r="DT12" s="2" t="str">
        <f t="shared" si="57"/>
        <v>transport_weight = 8.00</v>
      </c>
      <c r="DU12" s="2" t="str">
        <f t="shared" si="58"/>
        <v>type = land</v>
      </c>
      <c r="DV12" s="2" t="str">
        <f t="shared" si="59"/>
        <v>unit_group = support_unit_type</v>
      </c>
      <c r="DW12" s="2" t="str">
        <f t="shared" si="60"/>
        <v/>
      </c>
      <c r="DX12" s="2" t="str">
        <f t="shared" si="61"/>
        <v/>
      </c>
      <c r="DY12" s="2" t="s">
        <v>0</v>
      </c>
      <c r="DZ12" s="2" t="str">
        <f t="shared" si="63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0.00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4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5" t="s">
        <v>161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 t="shared" si="0"/>
        <v>garrison_brigade = {</v>
      </c>
      <c r="BO13" s="2" t="str">
        <f t="shared" si="62"/>
        <v/>
      </c>
      <c r="BP13" s="2" t="str">
        <f t="shared" si="1"/>
        <v/>
      </c>
      <c r="BQ13" s="2" t="str">
        <f t="shared" si="2"/>
        <v/>
      </c>
      <c r="BR13" s="2" t="str">
        <f t="shared" si="3"/>
        <v/>
      </c>
      <c r="BS13" s="2" t="str">
        <f t="shared" si="4"/>
        <v/>
      </c>
      <c r="BT13" s="2" t="str">
        <f t="shared" si="5"/>
        <v/>
      </c>
      <c r="BU13" s="2" t="str">
        <f t="shared" si="6"/>
        <v/>
      </c>
      <c r="BV13" s="2" t="str">
        <f t="shared" si="7"/>
        <v/>
      </c>
      <c r="BW13" s="2" t="str">
        <f t="shared" si="8"/>
        <v/>
      </c>
      <c r="BX13" s="2" t="str">
        <f t="shared" si="9"/>
        <v/>
      </c>
      <c r="BY13" s="2" t="str">
        <f t="shared" si="10"/>
        <v/>
      </c>
      <c r="BZ13" s="2" t="str">
        <f t="shared" si="11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>air_attack = 0.15</v>
      </c>
      <c r="CF13" s="2" t="str">
        <f t="shared" si="17"/>
        <v>air_defence = 2.00</v>
      </c>
      <c r="CG13" s="2" t="str">
        <f t="shared" si="18"/>
        <v>amphibious = { attack = -0.20 }</v>
      </c>
      <c r="CH13" s="2" t="str">
        <f t="shared" si="19"/>
        <v>ap_attack = 0.5</v>
      </c>
      <c r="CI13" s="2" t="str">
        <f t="shared" si="20"/>
        <v/>
      </c>
      <c r="CJ13" s="2" t="str">
        <f t="shared" si="21"/>
        <v/>
      </c>
      <c r="CK13" s="2" t="str">
        <f t="shared" si="22"/>
        <v>build_cost_ic = 3.9</v>
      </c>
      <c r="CL13" s="2" t="str">
        <f t="shared" si="23"/>
        <v>build_cost_manpower = 6.23</v>
      </c>
      <c r="CM13" s="2" t="str">
        <f t="shared" si="24"/>
        <v>build_time = 60</v>
      </c>
      <c r="CN13" s="2" t="str">
        <f t="shared" si="25"/>
        <v/>
      </c>
      <c r="CO13" s="2" t="str">
        <f t="shared" si="26"/>
        <v>combat_width = 2</v>
      </c>
      <c r="CP13" s="2" t="str">
        <f t="shared" si="27"/>
        <v>completion_size = 0.2</v>
      </c>
      <c r="CQ13" s="2" t="str">
        <f t="shared" si="28"/>
        <v>default_morale = 0.1</v>
      </c>
      <c r="CR13" s="2" t="str">
        <f t="shared" si="29"/>
        <v>default_organisation = 20</v>
      </c>
      <c r="CS13" s="2" t="str">
        <f t="shared" si="30"/>
        <v>defensiveness = 3.50</v>
      </c>
      <c r="CT13" s="2" t="str">
        <f t="shared" si="31"/>
        <v/>
      </c>
      <c r="CU13" s="2" t="str">
        <f t="shared" si="32"/>
        <v/>
      </c>
      <c r="CV13" s="2" t="str">
        <f t="shared" si="33"/>
        <v>fuel_consumption = 0.00</v>
      </c>
      <c r="CW13" s="2" t="str">
        <f t="shared" si="34"/>
        <v>hard_attack = 0.33</v>
      </c>
      <c r="CX13" s="2" t="str">
        <f t="shared" si="35"/>
        <v/>
      </c>
      <c r="CY13" s="2" t="str">
        <f t="shared" si="36"/>
        <v/>
      </c>
      <c r="CZ13" s="2" t="str">
        <f t="shared" si="37"/>
        <v/>
      </c>
      <c r="DA13" s="2" t="str">
        <f t="shared" si="38"/>
        <v/>
      </c>
      <c r="DB13" s="2" t="str">
        <f t="shared" si="39"/>
        <v/>
      </c>
      <c r="DC13" s="2" t="str">
        <f t="shared" si="40"/>
        <v/>
      </c>
      <c r="DD13" s="2" t="str">
        <f t="shared" si="41"/>
        <v>max_strength = 70</v>
      </c>
      <c r="DE13" s="2" t="str">
        <f t="shared" si="42"/>
        <v>maximum_speed = 1.00</v>
      </c>
      <c r="DF13" s="2" t="str">
        <f t="shared" si="43"/>
        <v/>
      </c>
      <c r="DG13" s="2" t="str">
        <f t="shared" si="44"/>
        <v>officers = 50</v>
      </c>
      <c r="DH13" s="2" t="str">
        <f t="shared" si="45"/>
        <v>on_completion = militia_practical</v>
      </c>
      <c r="DI13" s="2" t="str">
        <f t="shared" si="46"/>
        <v/>
      </c>
      <c r="DJ13" s="2" t="str">
        <f t="shared" si="47"/>
        <v>priority = 5</v>
      </c>
      <c r="DK13" s="2" t="str">
        <f t="shared" si="48"/>
        <v>radio_strength = 1</v>
      </c>
      <c r="DL13" s="2" t="str">
        <f t="shared" si="49"/>
        <v>repair_cost_multiplier = 0.05</v>
      </c>
      <c r="DM13" s="2" t="str">
        <f t="shared" si="50"/>
        <v>river = { attack = -0.10 }</v>
      </c>
      <c r="DN13" s="2" t="str">
        <f t="shared" si="51"/>
        <v>soft_attack = 1.67</v>
      </c>
      <c r="DO13" s="2" t="str">
        <f t="shared" si="52"/>
        <v>softness = 1.00</v>
      </c>
      <c r="DP13" s="2" t="str">
        <f t="shared" si="53"/>
        <v>sprite = Infantry</v>
      </c>
      <c r="DQ13" s="2" t="str">
        <f t="shared" si="54"/>
        <v>supply_consumption = 0.37</v>
      </c>
      <c r="DR13" s="2" t="str">
        <f t="shared" si="55"/>
        <v>suppression = 4</v>
      </c>
      <c r="DS13" s="2" t="str">
        <f t="shared" si="56"/>
        <v>toughness = 0.47</v>
      </c>
      <c r="DT13" s="2" t="str">
        <f t="shared" si="57"/>
        <v>transport_weight = 16</v>
      </c>
      <c r="DU13" s="2" t="str">
        <f t="shared" si="58"/>
        <v>type = land</v>
      </c>
      <c r="DV13" s="2" t="str">
        <f t="shared" si="59"/>
        <v>unit_group = infantry_unit_type</v>
      </c>
      <c r="DW13" s="2" t="str">
        <f t="shared" si="60"/>
        <v/>
      </c>
      <c r="DX13" s="2" t="str">
        <f t="shared" si="61"/>
        <v/>
      </c>
      <c r="DY13" s="2" t="s">
        <v>0</v>
      </c>
      <c r="DZ13" s="2" t="str">
        <f t="shared" si="63"/>
        <v xml:space="preserve">garrison_brigade = {
air_attack = 0.15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4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5" t="s">
        <v>107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 t="shared" si="0"/>
        <v>guards_brigade = {</v>
      </c>
      <c r="BO14" s="2" t="str">
        <f t="shared" si="62"/>
        <v/>
      </c>
      <c r="BP14" s="2" t="str">
        <f t="shared" si="1"/>
        <v/>
      </c>
      <c r="BQ14" s="2" t="str">
        <f t="shared" si="2"/>
        <v/>
      </c>
      <c r="BR14" s="2" t="str">
        <f t="shared" si="3"/>
        <v/>
      </c>
      <c r="BS14" s="2" t="str">
        <f t="shared" si="4"/>
        <v/>
      </c>
      <c r="BT14" s="2" t="str">
        <f t="shared" si="5"/>
        <v/>
      </c>
      <c r="BU14" s="2" t="str">
        <f t="shared" si="6"/>
        <v/>
      </c>
      <c r="BV14" s="2" t="str">
        <f t="shared" si="7"/>
        <v/>
      </c>
      <c r="BW14" s="2" t="str">
        <f t="shared" si="8"/>
        <v/>
      </c>
      <c r="BX14" s="2" t="str">
        <f t="shared" si="9"/>
        <v/>
      </c>
      <c r="BY14" s="2" t="str">
        <f t="shared" si="10"/>
        <v/>
      </c>
      <c r="BZ14" s="2" t="str">
        <f t="shared" si="11"/>
        <v/>
      </c>
      <c r="CA14" s="2" t="str">
        <f t="shared" si="12"/>
        <v/>
      </c>
      <c r="CB14" s="2" t="str">
        <f t="shared" si="13"/>
        <v/>
      </c>
      <c r="CC14" s="2" t="str">
        <f t="shared" si="14"/>
        <v/>
      </c>
      <c r="CD14" s="2" t="str">
        <f t="shared" si="15"/>
        <v/>
      </c>
      <c r="CE14" s="2" t="str">
        <f t="shared" si="16"/>
        <v>air_attack = 0.33</v>
      </c>
      <c r="CF14" s="2" t="str">
        <f t="shared" si="17"/>
        <v>air_defence = 2.00</v>
      </c>
      <c r="CG14" s="2" t="str">
        <f t="shared" si="18"/>
        <v/>
      </c>
      <c r="CH14" s="2" t="str">
        <f t="shared" si="19"/>
        <v>ap_attack = 1</v>
      </c>
      <c r="CI14" s="2" t="str">
        <f t="shared" si="20"/>
        <v/>
      </c>
      <c r="CJ14" s="2" t="str">
        <f t="shared" si="21"/>
        <v/>
      </c>
      <c r="CK14" s="2" t="str">
        <f t="shared" si="22"/>
        <v>build_cost_ic = 6.23</v>
      </c>
      <c r="CL14" s="2" t="str">
        <f t="shared" si="23"/>
        <v>build_cost_manpower = 7</v>
      </c>
      <c r="CM14" s="2" t="str">
        <f t="shared" si="24"/>
        <v>build_time = 120</v>
      </c>
      <c r="CN14" s="2" t="str">
        <f t="shared" si="25"/>
        <v/>
      </c>
      <c r="CO14" s="2" t="str">
        <f t="shared" si="26"/>
        <v>combat_width = 2</v>
      </c>
      <c r="CP14" s="2" t="str">
        <f t="shared" si="27"/>
        <v>completion_size = 0.2</v>
      </c>
      <c r="CQ14" s="2" t="str">
        <f t="shared" si="28"/>
        <v>default_morale = 0.55</v>
      </c>
      <c r="CR14" s="2" t="str">
        <f t="shared" si="29"/>
        <v>default_organisation = 35</v>
      </c>
      <c r="CS14" s="2" t="str">
        <f t="shared" si="30"/>
        <v>defensiveness = 5.00</v>
      </c>
      <c r="CT14" s="2" t="str">
        <f t="shared" si="31"/>
        <v/>
      </c>
      <c r="CU14" s="2" t="str">
        <f t="shared" si="32"/>
        <v/>
      </c>
      <c r="CV14" s="2" t="str">
        <f t="shared" si="33"/>
        <v>fuel_consumption = 0.00</v>
      </c>
      <c r="CW14" s="2" t="str">
        <f t="shared" si="34"/>
        <v>hard_attack = 0.67</v>
      </c>
      <c r="CX14" s="2" t="str">
        <f t="shared" si="35"/>
        <v/>
      </c>
      <c r="CY14" s="2" t="str">
        <f t="shared" si="36"/>
        <v/>
      </c>
      <c r="CZ14" s="2" t="str">
        <f t="shared" si="37"/>
        <v/>
      </c>
      <c r="DA14" s="2" t="str">
        <f t="shared" si="38"/>
        <v/>
      </c>
      <c r="DB14" s="2" t="str">
        <f t="shared" si="39"/>
        <v/>
      </c>
      <c r="DC14" s="2" t="str">
        <f t="shared" si="40"/>
        <v>max_percentage_of_type = 0.04</v>
      </c>
      <c r="DD14" s="2" t="str">
        <f t="shared" si="41"/>
        <v>max_strength = 70</v>
      </c>
      <c r="DE14" s="2" t="str">
        <f t="shared" si="42"/>
        <v>maximum_speed = 4.00</v>
      </c>
      <c r="DF14" s="2" t="str">
        <f t="shared" si="43"/>
        <v>minimum_of_type = 6</v>
      </c>
      <c r="DG14" s="2" t="str">
        <f t="shared" si="44"/>
        <v>officers = 200</v>
      </c>
      <c r="DH14" s="2" t="str">
        <f t="shared" si="45"/>
        <v>on_completion = infantry_practical</v>
      </c>
      <c r="DI14" s="2" t="str">
        <f t="shared" si="46"/>
        <v/>
      </c>
      <c r="DJ14" s="2" t="str">
        <f t="shared" si="47"/>
        <v>priority = 9</v>
      </c>
      <c r="DK14" s="2" t="str">
        <f t="shared" si="48"/>
        <v>radio_strength = 1</v>
      </c>
      <c r="DL14" s="2" t="str">
        <f t="shared" si="49"/>
        <v>repair_cost_multiplier = 0.05</v>
      </c>
      <c r="DM14" s="2" t="str">
        <f t="shared" si="50"/>
        <v/>
      </c>
      <c r="DN14" s="2" t="str">
        <f t="shared" si="51"/>
        <v>soft_attack = 2.00</v>
      </c>
      <c r="DO14" s="2" t="str">
        <f t="shared" si="52"/>
        <v>softness = 1.00</v>
      </c>
      <c r="DP14" s="2" t="str">
        <f t="shared" si="53"/>
        <v>sprite = Elite</v>
      </c>
      <c r="DQ14" s="2" t="str">
        <f t="shared" si="54"/>
        <v>supply_consumption = 1.56</v>
      </c>
      <c r="DR14" s="2" t="str">
        <f t="shared" si="55"/>
        <v>suppression = 2</v>
      </c>
      <c r="DS14" s="2" t="str">
        <f t="shared" si="56"/>
        <v>toughness = 2.8</v>
      </c>
      <c r="DT14" s="2" t="str">
        <f t="shared" si="57"/>
        <v>transport_weight = 20</v>
      </c>
      <c r="DU14" s="2" t="str">
        <f t="shared" si="58"/>
        <v>type = land</v>
      </c>
      <c r="DV14" s="2" t="str">
        <f t="shared" si="59"/>
        <v>unit_group = infantry_unit_type</v>
      </c>
      <c r="DW14" s="2" t="str">
        <f t="shared" si="60"/>
        <v/>
      </c>
      <c r="DX14" s="2" t="str">
        <f t="shared" si="61"/>
        <v>usable_by = { RUS SOV WHR }</v>
      </c>
      <c r="DY14" s="2" t="s">
        <v>0</v>
      </c>
      <c r="DZ14" s="2" t="str">
        <f t="shared" si="63"/>
        <v xml:space="preserve">guards_brigade = {
air_attack = 0.33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4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5" t="s">
        <v>100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 t="shared" si="0"/>
        <v>gurkha_brigade = {</v>
      </c>
      <c r="BO15" s="2" t="str">
        <f t="shared" si="62"/>
        <v/>
      </c>
      <c r="BP15" s="2" t="str">
        <f t="shared" si="1"/>
        <v xml:space="preserve">
arctic = {
attack = 0.50
defence = 0.20
movement = 0.20
}</v>
      </c>
      <c r="BQ15" s="2" t="str">
        <f t="shared" si="2"/>
        <v/>
      </c>
      <c r="BR15" s="2" t="str">
        <f t="shared" si="3"/>
        <v/>
      </c>
      <c r="BS15" s="2" t="str">
        <f t="shared" si="4"/>
        <v xml:space="preserve">
forest = {
attack = 0.15
movement = 0.10
}</v>
      </c>
      <c r="BT15" s="2" t="str">
        <f t="shared" si="5"/>
        <v/>
      </c>
      <c r="BU15" s="2" t="str">
        <f t="shared" si="6"/>
        <v xml:space="preserve">
hills = {
attack = 0.50
defence = 0.10
movement = 0.15
}</v>
      </c>
      <c r="BV15" s="2" t="str">
        <f t="shared" si="7"/>
        <v xml:space="preserve">
jungle = {
attack = 0.20
movement = 0.10
}</v>
      </c>
      <c r="BW15" s="2" t="str">
        <f t="shared" si="8"/>
        <v/>
      </c>
      <c r="BX15" s="2" t="str">
        <f t="shared" si="9"/>
        <v xml:space="preserve">
mountain = {
attack = 0.60
defence = 0.20
movement = 0.15
}</v>
      </c>
      <c r="BY15" s="2" t="str">
        <f t="shared" si="10"/>
        <v/>
      </c>
      <c r="BZ15" s="2" t="str">
        <f t="shared" si="11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 xml:space="preserve">
woods = {
attack = 0.1
movement = 0.05
}</v>
      </c>
      <c r="CD15" s="2" t="str">
        <f t="shared" si="15"/>
        <v/>
      </c>
      <c r="CE15" s="2" t="str">
        <f t="shared" si="16"/>
        <v>air_attack = 0.10</v>
      </c>
      <c r="CF15" s="2" t="str">
        <f t="shared" si="17"/>
        <v>air_defence = 2.50</v>
      </c>
      <c r="CG15" s="2" t="str">
        <f t="shared" si="18"/>
        <v/>
      </c>
      <c r="CH15" s="2" t="str">
        <f t="shared" si="19"/>
        <v>ap_attack = 1</v>
      </c>
      <c r="CI15" s="2" t="str">
        <f t="shared" si="20"/>
        <v/>
      </c>
      <c r="CJ15" s="2" t="str">
        <f t="shared" si="21"/>
        <v/>
      </c>
      <c r="CK15" s="2" t="str">
        <f t="shared" si="22"/>
        <v>build_cost_ic = 6.23</v>
      </c>
      <c r="CL15" s="2" t="str">
        <f t="shared" si="23"/>
        <v>build_cost_manpower = 9.33</v>
      </c>
      <c r="CM15" s="2" t="str">
        <f t="shared" si="24"/>
        <v>build_time = 150</v>
      </c>
      <c r="CN15" s="2" t="str">
        <f t="shared" si="25"/>
        <v/>
      </c>
      <c r="CO15" s="2" t="str">
        <f t="shared" si="26"/>
        <v>combat_width = 2</v>
      </c>
      <c r="CP15" s="2" t="str">
        <f t="shared" si="27"/>
        <v>completion_size = 0.3</v>
      </c>
      <c r="CQ15" s="2" t="str">
        <f t="shared" si="28"/>
        <v>default_morale = 0.4</v>
      </c>
      <c r="CR15" s="2" t="str">
        <f t="shared" si="29"/>
        <v>default_organisation = 40</v>
      </c>
      <c r="CS15" s="2" t="str">
        <f t="shared" si="30"/>
        <v>defensiveness = 4.00</v>
      </c>
      <c r="CT15" s="2" t="str">
        <f t="shared" si="31"/>
        <v/>
      </c>
      <c r="CU15" s="2" t="str">
        <f t="shared" si="32"/>
        <v/>
      </c>
      <c r="CV15" s="2" t="str">
        <f t="shared" si="33"/>
        <v>fuel_consumption = 0.00</v>
      </c>
      <c r="CW15" s="2" t="str">
        <f t="shared" si="34"/>
        <v>hard_attack = 0.33</v>
      </c>
      <c r="CX15" s="2" t="str">
        <f t="shared" si="35"/>
        <v/>
      </c>
      <c r="CY15" s="2" t="str">
        <f t="shared" si="36"/>
        <v/>
      </c>
      <c r="CZ15" s="2" t="str">
        <f t="shared" si="37"/>
        <v/>
      </c>
      <c r="DA15" s="2" t="str">
        <f t="shared" si="38"/>
        <v/>
      </c>
      <c r="DB15" s="2" t="str">
        <f t="shared" si="39"/>
        <v/>
      </c>
      <c r="DC15" s="2" t="str">
        <f t="shared" si="40"/>
        <v>max_percentage_of_type = 0.04</v>
      </c>
      <c r="DD15" s="2" t="str">
        <f t="shared" si="41"/>
        <v>max_strength = 70</v>
      </c>
      <c r="DE15" s="2" t="str">
        <f t="shared" si="42"/>
        <v>maximum_speed = 4.33</v>
      </c>
      <c r="DF15" s="2" t="str">
        <f t="shared" si="43"/>
        <v>minimum_of_type = 6</v>
      </c>
      <c r="DG15" s="2" t="str">
        <f t="shared" si="44"/>
        <v>officers = 250</v>
      </c>
      <c r="DH15" s="2" t="str">
        <f t="shared" si="45"/>
        <v>on_completion = infantry_practical</v>
      </c>
      <c r="DI15" s="2" t="str">
        <f t="shared" si="46"/>
        <v/>
      </c>
      <c r="DJ15" s="2" t="str">
        <f t="shared" si="47"/>
        <v>priority = 9</v>
      </c>
      <c r="DK15" s="2" t="str">
        <f t="shared" si="48"/>
        <v>radio_strength = 1</v>
      </c>
      <c r="DL15" s="2" t="str">
        <f t="shared" si="49"/>
        <v>repair_cost_multiplier = 0.05</v>
      </c>
      <c r="DM15" s="2" t="str">
        <f t="shared" si="50"/>
        <v/>
      </c>
      <c r="DN15" s="2" t="str">
        <f t="shared" si="51"/>
        <v>soft_attack = 1.67</v>
      </c>
      <c r="DO15" s="2" t="str">
        <f t="shared" si="52"/>
        <v>softness = 1.00</v>
      </c>
      <c r="DP15" s="2" t="str">
        <f t="shared" si="53"/>
        <v>sprite = Elite</v>
      </c>
      <c r="DQ15" s="2" t="str">
        <f t="shared" si="54"/>
        <v>supply_consumption = 1.56</v>
      </c>
      <c r="DR15" s="2" t="str">
        <f t="shared" si="55"/>
        <v>suppression = 1.34</v>
      </c>
      <c r="DS15" s="2" t="str">
        <f t="shared" si="56"/>
        <v>toughness = 2.33</v>
      </c>
      <c r="DT15" s="2" t="str">
        <f t="shared" si="57"/>
        <v>transport_weight = 10</v>
      </c>
      <c r="DU15" s="2" t="str">
        <f t="shared" si="58"/>
        <v>type = land</v>
      </c>
      <c r="DV15" s="2" t="str">
        <f t="shared" si="59"/>
        <v>unit_group = infantry_unit_type</v>
      </c>
      <c r="DW15" s="2" t="str">
        <f t="shared" si="60"/>
        <v/>
      </c>
      <c r="DX15" s="2" t="str">
        <f t="shared" si="61"/>
        <v>usable_by = { ENG NEP }</v>
      </c>
      <c r="DY15" s="2" t="s">
        <v>0</v>
      </c>
      <c r="DZ15" s="2" t="str">
        <f t="shared" si="63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0.10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4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5" t="s">
        <v>107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 t="shared" si="0"/>
        <v>hq_brigade = {</v>
      </c>
      <c r="BO16" s="2" t="str">
        <f t="shared" si="62"/>
        <v/>
      </c>
      <c r="BP16" s="2" t="str">
        <f t="shared" si="1"/>
        <v/>
      </c>
      <c r="BQ16" s="2" t="str">
        <f t="shared" si="2"/>
        <v/>
      </c>
      <c r="BR16" s="2" t="str">
        <f t="shared" si="3"/>
        <v/>
      </c>
      <c r="BS16" s="2" t="str">
        <f t="shared" si="4"/>
        <v/>
      </c>
      <c r="BT16" s="2" t="str">
        <f t="shared" si="5"/>
        <v/>
      </c>
      <c r="BU16" s="2" t="str">
        <f t="shared" si="6"/>
        <v/>
      </c>
      <c r="BV16" s="2" t="str">
        <f t="shared" si="7"/>
        <v/>
      </c>
      <c r="BW16" s="2" t="str">
        <f t="shared" si="8"/>
        <v/>
      </c>
      <c r="BX16" s="2" t="str">
        <f t="shared" si="9"/>
        <v/>
      </c>
      <c r="BY16" s="2" t="str">
        <f t="shared" si="10"/>
        <v/>
      </c>
      <c r="BZ16" s="2" t="str">
        <f t="shared" si="11"/>
        <v/>
      </c>
      <c r="CA16" s="2" t="str">
        <f t="shared" si="12"/>
        <v/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>air_attack = 0.33</v>
      </c>
      <c r="CF16" s="2" t="str">
        <f t="shared" si="17"/>
        <v>air_defence = 2.00</v>
      </c>
      <c r="CG16" s="2" t="str">
        <f t="shared" si="18"/>
        <v>amphibious = { attack = -0.10 }</v>
      </c>
      <c r="CH16" s="2" t="str">
        <f t="shared" si="19"/>
        <v/>
      </c>
      <c r="CI16" s="2" t="str">
        <f t="shared" si="20"/>
        <v/>
      </c>
      <c r="CJ16" s="2" t="str">
        <f t="shared" si="21"/>
        <v/>
      </c>
      <c r="CK16" s="2" t="str">
        <f t="shared" si="22"/>
        <v>build_cost_ic = 2.00</v>
      </c>
      <c r="CL16" s="2" t="str">
        <f t="shared" si="23"/>
        <v>build_cost_manpower = 1.67</v>
      </c>
      <c r="CM16" s="2" t="str">
        <f t="shared" si="24"/>
        <v>build_time = 120</v>
      </c>
      <c r="CN16" s="2" t="str">
        <f t="shared" si="25"/>
        <v/>
      </c>
      <c r="CO16" s="2" t="str">
        <f t="shared" si="26"/>
        <v>combat_width = 0</v>
      </c>
      <c r="CP16" s="2" t="str">
        <f t="shared" si="27"/>
        <v>completion_size = 0.2</v>
      </c>
      <c r="CQ16" s="2" t="str">
        <f t="shared" si="28"/>
        <v>default_morale = 0.35</v>
      </c>
      <c r="CR16" s="2" t="str">
        <f t="shared" si="29"/>
        <v>default_organisation = 20</v>
      </c>
      <c r="CS16" s="2" t="str">
        <f t="shared" si="30"/>
        <v>defensiveness = 4.33</v>
      </c>
      <c r="CT16" s="2" t="str">
        <f t="shared" si="31"/>
        <v/>
      </c>
      <c r="CU16" s="2" t="str">
        <f t="shared" si="32"/>
        <v/>
      </c>
      <c r="CV16" s="2" t="str">
        <f t="shared" si="33"/>
        <v>fuel_consumption = 0.00</v>
      </c>
      <c r="CW16" s="2" t="str">
        <f t="shared" si="34"/>
        <v>hard_attack = 0.00</v>
      </c>
      <c r="CX16" s="2" t="str">
        <f t="shared" si="35"/>
        <v/>
      </c>
      <c r="CY16" s="2" t="str">
        <f t="shared" si="36"/>
        <v/>
      </c>
      <c r="CZ16" s="2" t="str">
        <f t="shared" si="37"/>
        <v>is_buildable = no</v>
      </c>
      <c r="DA16" s="2" t="str">
        <f t="shared" si="38"/>
        <v/>
      </c>
      <c r="DB16" s="2" t="str">
        <f t="shared" si="39"/>
        <v/>
      </c>
      <c r="DC16" s="2" t="str">
        <f t="shared" si="40"/>
        <v/>
      </c>
      <c r="DD16" s="2" t="str">
        <f t="shared" si="41"/>
        <v>max_strength = 10</v>
      </c>
      <c r="DE16" s="2" t="str">
        <f t="shared" si="42"/>
        <v>maximum_speed = 3.00</v>
      </c>
      <c r="DF16" s="2" t="str">
        <f t="shared" si="43"/>
        <v/>
      </c>
      <c r="DG16" s="2" t="str">
        <f t="shared" si="44"/>
        <v>officers = 100</v>
      </c>
      <c r="DH16" s="2" t="str">
        <f t="shared" si="45"/>
        <v>on_completion = land_doctrine_practical</v>
      </c>
      <c r="DI16" s="2" t="str">
        <f t="shared" si="46"/>
        <v/>
      </c>
      <c r="DJ16" s="2" t="str">
        <f t="shared" si="47"/>
        <v>priority = 11</v>
      </c>
      <c r="DK16" s="2" t="str">
        <f t="shared" si="48"/>
        <v>radio_strength = 2</v>
      </c>
      <c r="DL16" s="2" t="str">
        <f t="shared" si="49"/>
        <v>repair_cost_multiplier = 0.05</v>
      </c>
      <c r="DM16" s="2" t="str">
        <f t="shared" si="50"/>
        <v>river = { attack = -0.05 }</v>
      </c>
      <c r="DN16" s="2" t="str">
        <f t="shared" si="51"/>
        <v>soft_attack = 0.33</v>
      </c>
      <c r="DO16" s="2" t="str">
        <f t="shared" si="52"/>
        <v>softness = 1.00</v>
      </c>
      <c r="DP16" s="2" t="str">
        <f t="shared" si="53"/>
        <v>sprite = Infantry</v>
      </c>
      <c r="DQ16" s="2" t="str">
        <f t="shared" si="54"/>
        <v>supply_consumption = 1.56</v>
      </c>
      <c r="DR16" s="2" t="str">
        <f t="shared" si="55"/>
        <v>suppression = 0.67</v>
      </c>
      <c r="DS16" s="2" t="str">
        <f t="shared" si="56"/>
        <v>toughness = 1.87</v>
      </c>
      <c r="DT16" s="2" t="str">
        <f t="shared" si="57"/>
        <v>transport_weight = 10.00</v>
      </c>
      <c r="DU16" s="2" t="str">
        <f t="shared" si="58"/>
        <v>type = land</v>
      </c>
      <c r="DV16" s="2" t="str">
        <f t="shared" si="59"/>
        <v/>
      </c>
      <c r="DW16" s="2" t="str">
        <f t="shared" si="60"/>
        <v/>
      </c>
      <c r="DX16" s="2" t="str">
        <f t="shared" si="61"/>
        <v/>
      </c>
      <c r="DY16" s="2" t="s">
        <v>0</v>
      </c>
      <c r="DZ16" s="2" t="str">
        <f t="shared" si="63"/>
        <v xml:space="preserve">hq_brigade = {
air_attack = 0.33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4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5" t="s">
        <v>107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 t="shared" si="0"/>
        <v>imperial_brigade = {</v>
      </c>
      <c r="BO17" s="2" t="str">
        <f t="shared" si="62"/>
        <v xml:space="preserve">
amphibious = {
attack = 0.10
}</v>
      </c>
      <c r="BP17" s="2" t="str">
        <f t="shared" si="1"/>
        <v/>
      </c>
      <c r="BQ17" s="2" t="str">
        <f t="shared" si="2"/>
        <v/>
      </c>
      <c r="BR17" s="2" t="str">
        <f t="shared" si="3"/>
        <v/>
      </c>
      <c r="BS17" s="2" t="str">
        <f t="shared" si="4"/>
        <v xml:space="preserve">
forest = {
attack = 0.15
movement = 0.15
}</v>
      </c>
      <c r="BT17" s="2" t="str">
        <f t="shared" si="5"/>
        <v/>
      </c>
      <c r="BU17" s="2" t="str">
        <f t="shared" si="6"/>
        <v xml:space="preserve">
hills = {
attack = 0.05
movement = 0.05
}</v>
      </c>
      <c r="BV17" s="2" t="str">
        <f t="shared" si="7"/>
        <v xml:space="preserve">
jungle = {
attack = 0.20
movement = 0.15
}</v>
      </c>
      <c r="BW17" s="2" t="str">
        <f t="shared" si="8"/>
        <v/>
      </c>
      <c r="BX17" s="2" t="str">
        <f t="shared" si="9"/>
        <v/>
      </c>
      <c r="BY17" s="2" t="str">
        <f t="shared" si="10"/>
        <v xml:space="preserve">
night = {
attack = 0.10
defence = 0.10
movement = 0.10
}</v>
      </c>
      <c r="BZ17" s="2" t="str">
        <f t="shared" si="11"/>
        <v/>
      </c>
      <c r="CA17" s="2" t="str">
        <f t="shared" si="12"/>
        <v xml:space="preserve">
river = {
attack = 0.05
}</v>
      </c>
      <c r="CB17" s="2" t="str">
        <f t="shared" si="13"/>
        <v/>
      </c>
      <c r="CC17" s="2" t="str">
        <f t="shared" si="14"/>
        <v xml:space="preserve">
woods = {
attack = 0.15
movement = 0.15
}</v>
      </c>
      <c r="CD17" s="2" t="str">
        <f t="shared" si="15"/>
        <v/>
      </c>
      <c r="CE17" s="2" t="str">
        <f t="shared" si="16"/>
        <v>air_attack = 0.33</v>
      </c>
      <c r="CF17" s="2" t="str">
        <f t="shared" si="17"/>
        <v>air_defence = 2.00</v>
      </c>
      <c r="CG17" s="2" t="str">
        <f t="shared" si="18"/>
        <v/>
      </c>
      <c r="CH17" s="2" t="str">
        <f t="shared" si="19"/>
        <v>ap_attack = 1</v>
      </c>
      <c r="CI17" s="2" t="str">
        <f t="shared" si="20"/>
        <v/>
      </c>
      <c r="CJ17" s="2" t="str">
        <f t="shared" si="21"/>
        <v/>
      </c>
      <c r="CK17" s="2" t="str">
        <f t="shared" si="22"/>
        <v>build_cost_ic = 6.23</v>
      </c>
      <c r="CL17" s="2" t="str">
        <f t="shared" si="23"/>
        <v>build_cost_manpower = 9.33</v>
      </c>
      <c r="CM17" s="2" t="str">
        <f t="shared" si="24"/>
        <v>build_time = 175</v>
      </c>
      <c r="CN17" s="2" t="str">
        <f t="shared" si="25"/>
        <v/>
      </c>
      <c r="CO17" s="2" t="str">
        <f t="shared" si="26"/>
        <v>combat_width = 2</v>
      </c>
      <c r="CP17" s="2" t="str">
        <f t="shared" si="27"/>
        <v>completion_size = 0.2</v>
      </c>
      <c r="CQ17" s="2" t="str">
        <f t="shared" si="28"/>
        <v>default_morale = 0.45</v>
      </c>
      <c r="CR17" s="2" t="str">
        <f t="shared" si="29"/>
        <v>default_organisation = 40</v>
      </c>
      <c r="CS17" s="2" t="str">
        <f t="shared" si="30"/>
        <v>defensiveness = 4.00</v>
      </c>
      <c r="CT17" s="2" t="str">
        <f t="shared" si="31"/>
        <v/>
      </c>
      <c r="CU17" s="2" t="str">
        <f t="shared" si="32"/>
        <v/>
      </c>
      <c r="CV17" s="2" t="str">
        <f t="shared" si="33"/>
        <v>fuel_consumption = 0.00</v>
      </c>
      <c r="CW17" s="2" t="str">
        <f t="shared" si="34"/>
        <v>hard_attack = 0.67</v>
      </c>
      <c r="CX17" s="2" t="str">
        <f t="shared" si="35"/>
        <v/>
      </c>
      <c r="CY17" s="2" t="str">
        <f t="shared" si="36"/>
        <v/>
      </c>
      <c r="CZ17" s="2" t="str">
        <f t="shared" si="37"/>
        <v/>
      </c>
      <c r="DA17" s="2" t="str">
        <f t="shared" si="38"/>
        <v/>
      </c>
      <c r="DB17" s="2" t="str">
        <f t="shared" si="39"/>
        <v/>
      </c>
      <c r="DC17" s="2" t="str">
        <f t="shared" si="40"/>
        <v>max_percentage_of_type = 0.04</v>
      </c>
      <c r="DD17" s="2" t="str">
        <f t="shared" si="41"/>
        <v>max_strength = 70</v>
      </c>
      <c r="DE17" s="2" t="str">
        <f t="shared" si="42"/>
        <v>maximum_speed = 4.00</v>
      </c>
      <c r="DF17" s="2" t="str">
        <f t="shared" si="43"/>
        <v>minimum_of_type = 6</v>
      </c>
      <c r="DG17" s="2" t="str">
        <f t="shared" si="44"/>
        <v>officers = 300</v>
      </c>
      <c r="DH17" s="2" t="str">
        <f t="shared" si="45"/>
        <v>on_completion = infantry_practical</v>
      </c>
      <c r="DI17" s="2" t="str">
        <f t="shared" si="46"/>
        <v/>
      </c>
      <c r="DJ17" s="2" t="str">
        <f t="shared" si="47"/>
        <v>priority = 9</v>
      </c>
      <c r="DK17" s="2" t="str">
        <f t="shared" si="48"/>
        <v>radio_strength = 1</v>
      </c>
      <c r="DL17" s="2" t="str">
        <f t="shared" si="49"/>
        <v>repair_cost_multiplier = 0.05</v>
      </c>
      <c r="DM17" s="2" t="str">
        <f t="shared" si="50"/>
        <v/>
      </c>
      <c r="DN17" s="2" t="str">
        <f t="shared" si="51"/>
        <v>soft_attack = 2.00</v>
      </c>
      <c r="DO17" s="2" t="str">
        <f t="shared" si="52"/>
        <v>softness = 1.00</v>
      </c>
      <c r="DP17" s="2" t="str">
        <f t="shared" si="53"/>
        <v>sprite = Elite</v>
      </c>
      <c r="DQ17" s="2" t="str">
        <f t="shared" si="54"/>
        <v>supply_consumption = 1.56</v>
      </c>
      <c r="DR17" s="2" t="str">
        <f t="shared" si="55"/>
        <v>suppression = 2</v>
      </c>
      <c r="DS17" s="2" t="str">
        <f t="shared" si="56"/>
        <v>toughness = 2.1</v>
      </c>
      <c r="DT17" s="2" t="str">
        <f t="shared" si="57"/>
        <v>transport_weight = 20</v>
      </c>
      <c r="DU17" s="2" t="str">
        <f t="shared" si="58"/>
        <v>type = land</v>
      </c>
      <c r="DV17" s="2" t="str">
        <f t="shared" si="59"/>
        <v>unit_group = infantry_unit_type</v>
      </c>
      <c r="DW17" s="2" t="str">
        <f t="shared" si="60"/>
        <v/>
      </c>
      <c r="DX17" s="2" t="str">
        <f t="shared" si="61"/>
        <v>usable_by = { JAP }</v>
      </c>
      <c r="DY17" s="2" t="s">
        <v>0</v>
      </c>
      <c r="DZ17" s="2" t="str">
        <f t="shared" si="63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0.33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4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5" t="s">
        <v>107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 t="shared" si="0"/>
        <v>infantry_brigade = {</v>
      </c>
      <c r="BO18" s="2" t="str">
        <f t="shared" si="62"/>
        <v/>
      </c>
      <c r="BP18" s="2" t="str">
        <f t="shared" si="1"/>
        <v/>
      </c>
      <c r="BQ18" s="2" t="str">
        <f t="shared" si="2"/>
        <v/>
      </c>
      <c r="BR18" s="2" t="str">
        <f t="shared" si="3"/>
        <v/>
      </c>
      <c r="BS18" s="2" t="str">
        <f t="shared" si="4"/>
        <v/>
      </c>
      <c r="BT18" s="2" t="str">
        <f t="shared" si="5"/>
        <v/>
      </c>
      <c r="BU18" s="2" t="str">
        <f t="shared" si="6"/>
        <v/>
      </c>
      <c r="BV18" s="2" t="str">
        <f t="shared" si="7"/>
        <v/>
      </c>
      <c r="BW18" s="2" t="str">
        <f t="shared" si="8"/>
        <v/>
      </c>
      <c r="BX18" s="2" t="str">
        <f t="shared" si="9"/>
        <v/>
      </c>
      <c r="BY18" s="2" t="str">
        <f t="shared" si="10"/>
        <v/>
      </c>
      <c r="BZ18" s="2" t="str">
        <f t="shared" si="11"/>
        <v/>
      </c>
      <c r="CA18" s="2" t="str">
        <f t="shared" si="12"/>
        <v/>
      </c>
      <c r="CB18" s="2" t="str">
        <f t="shared" si="13"/>
        <v/>
      </c>
      <c r="CC18" s="2" t="str">
        <f t="shared" si="14"/>
        <v/>
      </c>
      <c r="CD18" s="2" t="str">
        <f t="shared" si="15"/>
        <v>active = no</v>
      </c>
      <c r="CE18" s="2" t="str">
        <f t="shared" si="16"/>
        <v>air_attack = 0.33</v>
      </c>
      <c r="CF18" s="2" t="str">
        <f t="shared" si="17"/>
        <v>air_defence = 2.00</v>
      </c>
      <c r="CG18" s="2" t="str">
        <f t="shared" si="18"/>
        <v/>
      </c>
      <c r="CH18" s="2" t="str">
        <f t="shared" si="19"/>
        <v>ap_attack = 1</v>
      </c>
      <c r="CI18" s="2" t="str">
        <f t="shared" si="20"/>
        <v/>
      </c>
      <c r="CJ18" s="2" t="str">
        <f t="shared" si="21"/>
        <v/>
      </c>
      <c r="CK18" s="2" t="str">
        <f t="shared" si="22"/>
        <v>build_cost_ic = 5.44</v>
      </c>
      <c r="CL18" s="2" t="str">
        <f t="shared" si="23"/>
        <v>build_cost_manpower = 7.77</v>
      </c>
      <c r="CM18" s="2" t="str">
        <f t="shared" si="24"/>
        <v>build_time = 95</v>
      </c>
      <c r="CN18" s="2" t="str">
        <f t="shared" si="25"/>
        <v/>
      </c>
      <c r="CO18" s="2" t="str">
        <f t="shared" si="26"/>
        <v>combat_width = 2</v>
      </c>
      <c r="CP18" s="2" t="str">
        <f t="shared" si="27"/>
        <v>completion_size = 0.2</v>
      </c>
      <c r="CQ18" s="2" t="str">
        <f t="shared" si="28"/>
        <v>default_morale = 0.25</v>
      </c>
      <c r="CR18" s="2" t="str">
        <f t="shared" si="29"/>
        <v>default_organisation = 20</v>
      </c>
      <c r="CS18" s="2" t="str">
        <f t="shared" si="30"/>
        <v>defensiveness = 4.00</v>
      </c>
      <c r="CT18" s="2" t="str">
        <f t="shared" si="31"/>
        <v/>
      </c>
      <c r="CU18" s="2" t="str">
        <f t="shared" si="32"/>
        <v/>
      </c>
      <c r="CV18" s="2" t="str">
        <f t="shared" si="33"/>
        <v>fuel_consumption = 0.00</v>
      </c>
      <c r="CW18" s="2" t="str">
        <f t="shared" si="34"/>
        <v>hard_attack = 0.67</v>
      </c>
      <c r="CX18" s="2" t="str">
        <f t="shared" si="35"/>
        <v/>
      </c>
      <c r="CY18" s="2" t="str">
        <f t="shared" si="36"/>
        <v/>
      </c>
      <c r="CZ18" s="2" t="str">
        <f t="shared" si="37"/>
        <v/>
      </c>
      <c r="DA18" s="2" t="str">
        <f t="shared" si="38"/>
        <v/>
      </c>
      <c r="DB18" s="2" t="str">
        <f t="shared" si="39"/>
        <v/>
      </c>
      <c r="DC18" s="2" t="str">
        <f t="shared" si="40"/>
        <v/>
      </c>
      <c r="DD18" s="2" t="str">
        <f t="shared" si="41"/>
        <v>max_strength = 70</v>
      </c>
      <c r="DE18" s="2" t="str">
        <f t="shared" si="42"/>
        <v>maximum_speed = 4.00</v>
      </c>
      <c r="DF18" s="2" t="str">
        <f t="shared" si="43"/>
        <v/>
      </c>
      <c r="DG18" s="2" t="str">
        <f t="shared" si="44"/>
        <v>officers = 200</v>
      </c>
      <c r="DH18" s="2" t="str">
        <f t="shared" si="45"/>
        <v>on_completion = infantry_practical</v>
      </c>
      <c r="DI18" s="2" t="str">
        <f t="shared" si="46"/>
        <v/>
      </c>
      <c r="DJ18" s="2" t="str">
        <f t="shared" si="47"/>
        <v>priority = 7</v>
      </c>
      <c r="DK18" s="2" t="str">
        <f t="shared" si="48"/>
        <v>radio_strength = 1</v>
      </c>
      <c r="DL18" s="2" t="str">
        <f t="shared" si="49"/>
        <v>repair_cost_multiplier = 0.05</v>
      </c>
      <c r="DM18" s="2" t="str">
        <f t="shared" si="50"/>
        <v/>
      </c>
      <c r="DN18" s="2" t="str">
        <f t="shared" si="51"/>
        <v>soft_attack = 2.00</v>
      </c>
      <c r="DO18" s="2" t="str">
        <f t="shared" si="52"/>
        <v>softness = 1.00</v>
      </c>
      <c r="DP18" s="2" t="str">
        <f t="shared" si="53"/>
        <v>sprite = Infantry</v>
      </c>
      <c r="DQ18" s="2" t="str">
        <f t="shared" si="54"/>
        <v>supply_consumption = 1.56</v>
      </c>
      <c r="DR18" s="2" t="str">
        <f t="shared" si="55"/>
        <v>suppression = 2</v>
      </c>
      <c r="DS18" s="2" t="str">
        <f t="shared" si="56"/>
        <v>toughness = 2.1</v>
      </c>
      <c r="DT18" s="2" t="str">
        <f t="shared" si="57"/>
        <v>transport_weight = 20</v>
      </c>
      <c r="DU18" s="2" t="str">
        <f t="shared" si="58"/>
        <v>type = land</v>
      </c>
      <c r="DV18" s="2" t="str">
        <f t="shared" si="59"/>
        <v>unit_group = infantry_unit_type</v>
      </c>
      <c r="DW18" s="2" t="str">
        <f t="shared" si="60"/>
        <v/>
      </c>
      <c r="DX18" s="2" t="str">
        <f t="shared" si="61"/>
        <v/>
      </c>
      <c r="DY18" s="2" t="s">
        <v>0</v>
      </c>
      <c r="DZ18" s="2" t="str">
        <f t="shared" si="63"/>
        <v xml:space="preserve">infantry_brigade = {
active = no
air_attack = 0.33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4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5" t="s">
        <v>107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 t="shared" si="0"/>
        <v>janissary_brigade = {</v>
      </c>
      <c r="BO19" s="2" t="str">
        <f t="shared" si="62"/>
        <v/>
      </c>
      <c r="BP19" s="2" t="str">
        <f t="shared" si="1"/>
        <v/>
      </c>
      <c r="BQ19" s="2" t="str">
        <f t="shared" si="2"/>
        <v/>
      </c>
      <c r="BR19" s="2" t="str">
        <f t="shared" si="3"/>
        <v/>
      </c>
      <c r="BS19" s="2" t="str">
        <f t="shared" si="4"/>
        <v xml:space="preserve">
forest = {
attack = 0.10
movement = 0.15
}</v>
      </c>
      <c r="BT19" s="2" t="str">
        <f t="shared" si="5"/>
        <v/>
      </c>
      <c r="BU19" s="2" t="str">
        <f t="shared" si="6"/>
        <v xml:space="preserve">
hills = {
attack = 0.05
movement = 0.05
}</v>
      </c>
      <c r="BV19" s="2" t="str">
        <f t="shared" si="7"/>
        <v xml:space="preserve">
jungle = {
attack = 0.10
movement = 0.15
}</v>
      </c>
      <c r="BW19" s="2" t="str">
        <f t="shared" si="8"/>
        <v/>
      </c>
      <c r="BX19" s="2" t="str">
        <f t="shared" si="9"/>
        <v/>
      </c>
      <c r="BY19" s="2" t="str">
        <f t="shared" si="10"/>
        <v xml:space="preserve">
night = {
attack = 0.10
defence = 0.10
movement = 0.10
}</v>
      </c>
      <c r="BZ19" s="2" t="str">
        <f t="shared" si="11"/>
        <v/>
      </c>
      <c r="CA19" s="2" t="str">
        <f t="shared" si="12"/>
        <v/>
      </c>
      <c r="CB19" s="2" t="str">
        <f t="shared" si="13"/>
        <v xml:space="preserve">
urban = {
attack = 0.20
defence = 0.15
}</v>
      </c>
      <c r="CC19" s="2" t="str">
        <f t="shared" si="14"/>
        <v xml:space="preserve">
woods = {
attack = 0.10
movement = 0.15
}</v>
      </c>
      <c r="CD19" s="2" t="str">
        <f t="shared" si="15"/>
        <v/>
      </c>
      <c r="CE19" s="2" t="str">
        <f t="shared" si="16"/>
        <v>air_attack = 0.33</v>
      </c>
      <c r="CF19" s="2" t="str">
        <f t="shared" si="17"/>
        <v>air_defence = 2.00</v>
      </c>
      <c r="CG19" s="2" t="str">
        <f t="shared" si="18"/>
        <v/>
      </c>
      <c r="CH19" s="2" t="str">
        <f t="shared" si="19"/>
        <v>ap_attack = 1</v>
      </c>
      <c r="CI19" s="2" t="str">
        <f t="shared" si="20"/>
        <v/>
      </c>
      <c r="CJ19" s="2" t="str">
        <f t="shared" si="21"/>
        <v/>
      </c>
      <c r="CK19" s="2" t="str">
        <f t="shared" si="22"/>
        <v>build_cost_ic = 6.23</v>
      </c>
      <c r="CL19" s="2" t="str">
        <f t="shared" si="23"/>
        <v>build_cost_manpower = 9.33</v>
      </c>
      <c r="CM19" s="2" t="str">
        <f t="shared" si="24"/>
        <v>build_time = 150</v>
      </c>
      <c r="CN19" s="2" t="str">
        <f t="shared" si="25"/>
        <v/>
      </c>
      <c r="CO19" s="2" t="str">
        <f t="shared" si="26"/>
        <v>combat_width = 2</v>
      </c>
      <c r="CP19" s="2" t="str">
        <f t="shared" si="27"/>
        <v>completion_size = 0.3</v>
      </c>
      <c r="CQ19" s="2" t="str">
        <f t="shared" si="28"/>
        <v>default_morale = 0.35</v>
      </c>
      <c r="CR19" s="2" t="str">
        <f t="shared" si="29"/>
        <v>default_organisation = 30</v>
      </c>
      <c r="CS19" s="2" t="str">
        <f t="shared" si="30"/>
        <v>defensiveness = 4.00</v>
      </c>
      <c r="CT19" s="2" t="str">
        <f t="shared" si="31"/>
        <v/>
      </c>
      <c r="CU19" s="2" t="str">
        <f t="shared" si="32"/>
        <v/>
      </c>
      <c r="CV19" s="2" t="str">
        <f t="shared" si="33"/>
        <v>fuel_consumption = 0.00</v>
      </c>
      <c r="CW19" s="2" t="str">
        <f t="shared" si="34"/>
        <v>hard_attack = 0.67</v>
      </c>
      <c r="CX19" s="2" t="str">
        <f t="shared" si="35"/>
        <v/>
      </c>
      <c r="CY19" s="2" t="str">
        <f t="shared" si="36"/>
        <v/>
      </c>
      <c r="CZ19" s="2" t="str">
        <f t="shared" si="37"/>
        <v/>
      </c>
      <c r="DA19" s="2" t="str">
        <f t="shared" si="38"/>
        <v/>
      </c>
      <c r="DB19" s="2" t="str">
        <f t="shared" si="39"/>
        <v/>
      </c>
      <c r="DC19" s="2" t="str">
        <f t="shared" si="40"/>
        <v>max_percentage_of_type = 0.04</v>
      </c>
      <c r="DD19" s="2" t="str">
        <f t="shared" si="41"/>
        <v>max_strength = 70</v>
      </c>
      <c r="DE19" s="2" t="str">
        <f t="shared" si="42"/>
        <v>maximum_speed = 4.00</v>
      </c>
      <c r="DF19" s="2" t="str">
        <f t="shared" si="43"/>
        <v>minimum_of_type = 6</v>
      </c>
      <c r="DG19" s="2" t="str">
        <f t="shared" si="44"/>
        <v>officers = 250</v>
      </c>
      <c r="DH19" s="2" t="str">
        <f t="shared" si="45"/>
        <v>on_completion = infantry_practical</v>
      </c>
      <c r="DI19" s="2" t="str">
        <f t="shared" si="46"/>
        <v/>
      </c>
      <c r="DJ19" s="2" t="str">
        <f t="shared" si="47"/>
        <v>priority = 9</v>
      </c>
      <c r="DK19" s="2" t="str">
        <f t="shared" si="48"/>
        <v>radio_strength = 1</v>
      </c>
      <c r="DL19" s="2" t="str">
        <f t="shared" si="49"/>
        <v>repair_cost_multiplier = 0.05</v>
      </c>
      <c r="DM19" s="2" t="str">
        <f t="shared" si="50"/>
        <v/>
      </c>
      <c r="DN19" s="2" t="str">
        <f t="shared" si="51"/>
        <v>soft_attack = 2.00</v>
      </c>
      <c r="DO19" s="2" t="str">
        <f t="shared" si="52"/>
        <v>softness = 1.00</v>
      </c>
      <c r="DP19" s="2" t="str">
        <f t="shared" si="53"/>
        <v>sprite = Elite</v>
      </c>
      <c r="DQ19" s="2" t="str">
        <f t="shared" si="54"/>
        <v>supply_consumption = 1.56</v>
      </c>
      <c r="DR19" s="2" t="str">
        <f t="shared" si="55"/>
        <v>suppression = 2</v>
      </c>
      <c r="DS19" s="2" t="str">
        <f t="shared" si="56"/>
        <v>toughness = 2.1</v>
      </c>
      <c r="DT19" s="2" t="str">
        <f t="shared" si="57"/>
        <v>transport_weight = 20</v>
      </c>
      <c r="DU19" s="2" t="str">
        <f t="shared" si="58"/>
        <v>type = land</v>
      </c>
      <c r="DV19" s="2" t="str">
        <f t="shared" si="59"/>
        <v>unit_group = infantry_unit_type</v>
      </c>
      <c r="DW19" s="2" t="str">
        <f t="shared" si="60"/>
        <v/>
      </c>
      <c r="DX19" s="2" t="str">
        <f t="shared" si="61"/>
        <v>usable_by = { TUR }</v>
      </c>
      <c r="DY19" s="2" t="s">
        <v>0</v>
      </c>
      <c r="DZ19" s="2" t="str">
        <f t="shared" si="63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4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5" t="s">
        <v>107</v>
      </c>
      <c r="T20" s="5" t="s">
        <v>115</v>
      </c>
      <c r="U20" s="5" t="s">
        <v>156</v>
      </c>
      <c r="V20" s="5">
        <v>1.5</v>
      </c>
      <c r="W20" s="5" t="s">
        <v>62</v>
      </c>
      <c r="X20" s="5">
        <v>1.5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0.1</v>
      </c>
      <c r="AF20" s="5">
        <v>10</v>
      </c>
      <c r="AG20" s="5">
        <v>0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>
        <v>1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0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 t="shared" si="0"/>
        <v>light_armor_brigade = {</v>
      </c>
      <c r="BO20" s="2" t="str">
        <f t="shared" si="62"/>
        <v/>
      </c>
      <c r="BP20" s="2" t="str">
        <f t="shared" si="1"/>
        <v/>
      </c>
      <c r="BQ20" s="2" t="str">
        <f t="shared" si="2"/>
        <v/>
      </c>
      <c r="BR20" s="2" t="str">
        <f t="shared" si="3"/>
        <v/>
      </c>
      <c r="BS20" s="2" t="str">
        <f t="shared" si="4"/>
        <v xml:space="preserve">
forest = {
attack = -0.20
movement = -0.30
defence = -0.3
}</v>
      </c>
      <c r="BT20" s="2" t="str">
        <f t="shared" si="5"/>
        <v/>
      </c>
      <c r="BU20" s="2" t="str">
        <f t="shared" si="6"/>
        <v xml:space="preserve">
hills = {
attack = -0.05
movement = -0.05
defence = -0.2
}</v>
      </c>
      <c r="BV20" s="2" t="str">
        <f t="shared" si="7"/>
        <v xml:space="preserve">
jungle = {
attack = -0.30
movement = -0.30
defence = -0.5
}</v>
      </c>
      <c r="BW20" s="2" t="str">
        <f t="shared" si="8"/>
        <v xml:space="preserve">
marsh = {
attack = -0.30
movement = -0.70
defence = -0.5
}</v>
      </c>
      <c r="BX20" s="2" t="str">
        <f t="shared" si="9"/>
        <v xml:space="preserve">
mountain = {
attack = -0.20
movement = -0.30
defence = -0.60
}</v>
      </c>
      <c r="BY20" s="2" t="str">
        <f t="shared" si="10"/>
        <v/>
      </c>
      <c r="BZ20" s="2" t="str">
        <f t="shared" si="11"/>
        <v/>
      </c>
      <c r="CA20" s="2" t="str">
        <f t="shared" si="12"/>
        <v/>
      </c>
      <c r="CB20" s="2" t="str">
        <f t="shared" si="13"/>
        <v xml:space="preserve">
urban = {
attack = -0.40
defence = -0.60
}</v>
      </c>
      <c r="CC20" s="2" t="str">
        <f t="shared" si="14"/>
        <v xml:space="preserve">
woods = {
attack = -0.05
movement = -0.10
defence = -0.2
}</v>
      </c>
      <c r="CD20" s="2" t="str">
        <f t="shared" si="15"/>
        <v>active = no</v>
      </c>
      <c r="CE20" s="2" t="str">
        <f t="shared" si="16"/>
        <v>air_attack = 0.33</v>
      </c>
      <c r="CF20" s="2" t="str">
        <f t="shared" si="17"/>
        <v>air_defence = 1.00</v>
      </c>
      <c r="CG20" s="2" t="str">
        <f t="shared" si="18"/>
        <v>amphibious = { attack = -0.60 }</v>
      </c>
      <c r="CH20" s="2" t="str">
        <f t="shared" si="19"/>
        <v>ap_attack = 1.5</v>
      </c>
      <c r="CI20" s="2" t="str">
        <f t="shared" si="20"/>
        <v/>
      </c>
      <c r="CJ20" s="2" t="str">
        <f t="shared" si="21"/>
        <v>armor_value = 1.5</v>
      </c>
      <c r="CK20" s="2" t="str">
        <f t="shared" si="22"/>
        <v>build_cost_ic = 8</v>
      </c>
      <c r="CL20" s="2" t="str">
        <f t="shared" si="23"/>
        <v>build_cost_manpower = 0.78</v>
      </c>
      <c r="CM20" s="2" t="str">
        <f t="shared" si="24"/>
        <v>build_time = 160</v>
      </c>
      <c r="CN20" s="2" t="str">
        <f t="shared" si="25"/>
        <v/>
      </c>
      <c r="CO20" s="2" t="str">
        <f t="shared" si="26"/>
        <v>combat_width = 0</v>
      </c>
      <c r="CP20" s="2" t="str">
        <f t="shared" si="27"/>
        <v>completion_size = 0.6</v>
      </c>
      <c r="CQ20" s="2" t="str">
        <f t="shared" si="28"/>
        <v>default_morale = 0.1</v>
      </c>
      <c r="CR20" s="2" t="str">
        <f t="shared" si="29"/>
        <v>default_organisation = 10</v>
      </c>
      <c r="CS20" s="2" t="str">
        <f t="shared" si="30"/>
        <v>defensiveness = 0</v>
      </c>
      <c r="CT20" s="2" t="str">
        <f t="shared" si="31"/>
        <v/>
      </c>
      <c r="CU20" s="2" t="str">
        <f t="shared" si="32"/>
        <v/>
      </c>
      <c r="CV20" s="2" t="str">
        <f t="shared" si="33"/>
        <v>fuel_consumption = 1.5</v>
      </c>
      <c r="CW20" s="2" t="str">
        <f t="shared" si="34"/>
        <v>hard_attack = 0.67</v>
      </c>
      <c r="CX20" s="2" t="str">
        <f t="shared" si="35"/>
        <v/>
      </c>
      <c r="CY20" s="2" t="str">
        <f t="shared" si="36"/>
        <v>is_armor = yes</v>
      </c>
      <c r="CZ20" s="2" t="str">
        <f t="shared" si="37"/>
        <v/>
      </c>
      <c r="DA20" s="2" t="str">
        <f t="shared" si="38"/>
        <v>is_mobile = yes</v>
      </c>
      <c r="DB20" s="2" t="str">
        <f t="shared" si="39"/>
        <v/>
      </c>
      <c r="DC20" s="2" t="str">
        <f t="shared" si="40"/>
        <v/>
      </c>
      <c r="DD20" s="2" t="str">
        <f t="shared" si="41"/>
        <v>max_strength = 10</v>
      </c>
      <c r="DE20" s="2" t="str">
        <f t="shared" si="42"/>
        <v>maximum_speed = 5</v>
      </c>
      <c r="DF20" s="2" t="str">
        <f t="shared" si="43"/>
        <v/>
      </c>
      <c r="DG20" s="2" t="str">
        <f t="shared" si="44"/>
        <v>officers = 100</v>
      </c>
      <c r="DH20" s="2" t="str">
        <f t="shared" si="45"/>
        <v>on_completion = armour_practical</v>
      </c>
      <c r="DI20" s="2" t="str">
        <f t="shared" si="46"/>
        <v/>
      </c>
      <c r="DJ20" s="2" t="str">
        <f t="shared" si="47"/>
        <v>priority = 10</v>
      </c>
      <c r="DK20" s="2" t="str">
        <f t="shared" si="48"/>
        <v>radio_strength = 1</v>
      </c>
      <c r="DL20" s="2" t="str">
        <f t="shared" si="49"/>
        <v>repair_cost_multiplier = 0.05</v>
      </c>
      <c r="DM20" s="2" t="str">
        <f t="shared" si="50"/>
        <v>river = { attack = -0.05 }</v>
      </c>
      <c r="DN20" s="2" t="str">
        <f t="shared" si="51"/>
        <v>soft_attack = 1</v>
      </c>
      <c r="DO20" s="2" t="str">
        <f t="shared" si="52"/>
        <v>softness = 0.30</v>
      </c>
      <c r="DP20" s="2" t="str">
        <f t="shared" si="53"/>
        <v>sprite = Tank</v>
      </c>
      <c r="DQ20" s="2" t="str">
        <f t="shared" si="54"/>
        <v>supply_consumption = 3.1</v>
      </c>
      <c r="DR20" s="2" t="str">
        <f t="shared" si="55"/>
        <v>suppression = 0.33</v>
      </c>
      <c r="DS20" s="2" t="str">
        <f t="shared" si="56"/>
        <v>toughness = 0</v>
      </c>
      <c r="DT20" s="2" t="str">
        <f t="shared" si="57"/>
        <v>transport_weight = 15.00</v>
      </c>
      <c r="DU20" s="2" t="str">
        <f t="shared" si="58"/>
        <v>type = land</v>
      </c>
      <c r="DV20" s="2" t="str">
        <f t="shared" si="59"/>
        <v>unit_group = armor_unit_type</v>
      </c>
      <c r="DW20" s="2" t="str">
        <f t="shared" si="60"/>
        <v/>
      </c>
      <c r="DX20" s="2" t="str">
        <f t="shared" si="61"/>
        <v/>
      </c>
      <c r="DY20" s="2" t="s">
        <v>0</v>
      </c>
      <c r="DZ20" s="2" t="str">
        <f t="shared" si="63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0.33
air_defence = 1.00
amphibious = { attack = -0.60 }
ap_attack = 1.5
armor_value = 1.5
build_cost_ic = 8
build_cost_manpower = 0.78
build_time = 160
combat_width = 0
completion_size = 0.6
default_morale = 0.1
default_organisation = 10
defensiveness = 0
fuel_consumption = 1.5
hard_attack = 0.67
is_armor = yes
is_mobile = yes
max_strength = 10
maximum_speed = 5
officers = 100
on_completion = armour_practical
priority = 10
radio_strength = 1
repair_cost_multiplier = 0.05
river = { attack = -0.05 }
soft_attack = 1
softness = 0.30
sprite = Tank
supply_consumption = 3.1
suppression = 0.33
toughness = 0
transport_weight = 15.00
type = land
unit_group = armor_unit_type
}
</v>
      </c>
    </row>
    <row r="21" spans="1:130" x14ac:dyDescent="0.25">
      <c r="A21" s="2" t="str">
        <f t="shared" ca="1" si="64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5" t="s">
        <v>107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 t="shared" si="0"/>
        <v>marine_brigade = {</v>
      </c>
      <c r="BO21" s="2" t="str">
        <f t="shared" si="62"/>
        <v xml:space="preserve">
amphibious = {
attack = 0.50
}</v>
      </c>
      <c r="BP21" s="2" t="str">
        <f t="shared" si="1"/>
        <v/>
      </c>
      <c r="BQ21" s="2" t="str">
        <f t="shared" si="2"/>
        <v/>
      </c>
      <c r="BR21" s="2" t="str">
        <f t="shared" si="3"/>
        <v/>
      </c>
      <c r="BS21" s="2" t="str">
        <f t="shared" si="4"/>
        <v/>
      </c>
      <c r="BT21" s="2" t="str">
        <f t="shared" si="5"/>
        <v/>
      </c>
      <c r="BU21" s="2" t="str">
        <f t="shared" si="6"/>
        <v/>
      </c>
      <c r="BV21" s="2" t="str">
        <f t="shared" si="7"/>
        <v xml:space="preserve">
jungle = {
attack = 0.25
defence = 0.25
movement = 0.25
}</v>
      </c>
      <c r="BW21" s="2" t="str">
        <f t="shared" si="8"/>
        <v xml:space="preserve">
marsh = {
attack = 0.3
}</v>
      </c>
      <c r="BX21" s="2" t="str">
        <f t="shared" si="9"/>
        <v/>
      </c>
      <c r="BY21" s="2" t="str">
        <f t="shared" si="10"/>
        <v/>
      </c>
      <c r="BZ21" s="2" t="str">
        <f t="shared" si="11"/>
        <v/>
      </c>
      <c r="CA21" s="2" t="str">
        <f t="shared" si="12"/>
        <v xml:space="preserve">
river = {
attack = 0.40
}</v>
      </c>
      <c r="CB21" s="2" t="str">
        <f t="shared" si="13"/>
        <v/>
      </c>
      <c r="CC21" s="2" t="str">
        <f t="shared" si="14"/>
        <v/>
      </c>
      <c r="CD21" s="2" t="str">
        <f t="shared" si="15"/>
        <v>active = no</v>
      </c>
      <c r="CE21" s="2" t="str">
        <f t="shared" si="16"/>
        <v>air_attack = 0.33</v>
      </c>
      <c r="CF21" s="2" t="str">
        <f t="shared" si="17"/>
        <v>air_defence = 2.50</v>
      </c>
      <c r="CG21" s="2" t="str">
        <f t="shared" si="18"/>
        <v/>
      </c>
      <c r="CH21" s="2" t="str">
        <f t="shared" si="19"/>
        <v>ap_attack = 0.5</v>
      </c>
      <c r="CI21" s="2" t="str">
        <f t="shared" si="20"/>
        <v/>
      </c>
      <c r="CJ21" s="2" t="str">
        <f t="shared" si="21"/>
        <v/>
      </c>
      <c r="CK21" s="2" t="str">
        <f t="shared" si="22"/>
        <v>build_cost_ic = 7</v>
      </c>
      <c r="CL21" s="2" t="str">
        <f t="shared" si="23"/>
        <v>build_cost_manpower = 9.33</v>
      </c>
      <c r="CM21" s="2" t="str">
        <f t="shared" si="24"/>
        <v>build_time = 160</v>
      </c>
      <c r="CN21" s="2" t="str">
        <f t="shared" si="25"/>
        <v/>
      </c>
      <c r="CO21" s="2" t="str">
        <f t="shared" si="26"/>
        <v>combat_width = 2</v>
      </c>
      <c r="CP21" s="2" t="str">
        <f t="shared" si="27"/>
        <v>completion_size = 0.3</v>
      </c>
      <c r="CQ21" s="2" t="str">
        <f t="shared" si="28"/>
        <v>default_morale = 0.35</v>
      </c>
      <c r="CR21" s="2" t="str">
        <f t="shared" si="29"/>
        <v>default_organisation = 30</v>
      </c>
      <c r="CS21" s="2" t="str">
        <f t="shared" si="30"/>
        <v>defensiveness = 3.50</v>
      </c>
      <c r="CT21" s="2" t="str">
        <f t="shared" si="31"/>
        <v/>
      </c>
      <c r="CU21" s="2" t="str">
        <f t="shared" si="32"/>
        <v/>
      </c>
      <c r="CV21" s="2" t="str">
        <f t="shared" si="33"/>
        <v>fuel_consumption = 0.00</v>
      </c>
      <c r="CW21" s="2" t="str">
        <f t="shared" si="34"/>
        <v>hard_attack = 0.33</v>
      </c>
      <c r="CX21" s="2" t="str">
        <f t="shared" si="35"/>
        <v/>
      </c>
      <c r="CY21" s="2" t="str">
        <f t="shared" si="36"/>
        <v/>
      </c>
      <c r="CZ21" s="2" t="str">
        <f t="shared" si="37"/>
        <v/>
      </c>
      <c r="DA21" s="2" t="str">
        <f t="shared" si="38"/>
        <v/>
      </c>
      <c r="DB21" s="2" t="str">
        <f t="shared" si="39"/>
        <v/>
      </c>
      <c r="DC21" s="2" t="str">
        <f t="shared" si="40"/>
        <v>max_percentage_of_type = 0.04</v>
      </c>
      <c r="DD21" s="2" t="str">
        <f t="shared" si="41"/>
        <v>max_strength = 70</v>
      </c>
      <c r="DE21" s="2" t="str">
        <f t="shared" si="42"/>
        <v>maximum_speed = 4.33</v>
      </c>
      <c r="DF21" s="2" t="str">
        <f t="shared" si="43"/>
        <v>minimum_of_type = 6</v>
      </c>
      <c r="DG21" s="2" t="str">
        <f t="shared" si="44"/>
        <v>officers = 250</v>
      </c>
      <c r="DH21" s="2" t="str">
        <f t="shared" si="45"/>
        <v>on_completion = infantry_practical</v>
      </c>
      <c r="DI21" s="2" t="str">
        <f t="shared" si="46"/>
        <v/>
      </c>
      <c r="DJ21" s="2" t="str">
        <f t="shared" si="47"/>
        <v>priority = 8</v>
      </c>
      <c r="DK21" s="2" t="str">
        <f t="shared" si="48"/>
        <v>radio_strength = 1</v>
      </c>
      <c r="DL21" s="2" t="str">
        <f t="shared" si="49"/>
        <v>repair_cost_multiplier = 0.05</v>
      </c>
      <c r="DM21" s="2" t="str">
        <f t="shared" si="50"/>
        <v/>
      </c>
      <c r="DN21" s="2" t="str">
        <f t="shared" si="51"/>
        <v>soft_attack = 1.67</v>
      </c>
      <c r="DO21" s="2" t="str">
        <f t="shared" si="52"/>
        <v>softness = 1.00</v>
      </c>
      <c r="DP21" s="2" t="str">
        <f t="shared" si="53"/>
        <v>sprite = Infantry</v>
      </c>
      <c r="DQ21" s="2" t="str">
        <f t="shared" si="54"/>
        <v>supply_consumption = 1.87</v>
      </c>
      <c r="DR21" s="2" t="str">
        <f t="shared" si="55"/>
        <v>suppression = 1.34</v>
      </c>
      <c r="DS21" s="2" t="str">
        <f t="shared" si="56"/>
        <v>toughness = 2.57</v>
      </c>
      <c r="DT21" s="2" t="str">
        <f t="shared" si="57"/>
        <v>transport_weight = 20</v>
      </c>
      <c r="DU21" s="2" t="str">
        <f t="shared" si="58"/>
        <v>type = land</v>
      </c>
      <c r="DV21" s="2" t="str">
        <f t="shared" si="59"/>
        <v>unit_group = infantry_unit_type</v>
      </c>
      <c r="DW21" s="2" t="str">
        <f t="shared" si="60"/>
        <v/>
      </c>
      <c r="DX21" s="2" t="str">
        <f t="shared" si="61"/>
        <v/>
      </c>
      <c r="DY21" s="2" t="s">
        <v>0</v>
      </c>
      <c r="DZ21" s="2" t="str">
        <f t="shared" si="63"/>
        <v xml:space="preserve">marine_brigade = {
amphibious = {
attack = 0.50
}
jungle = {
attack = 0.25
defence = 0.25
movement = 0.25
}
marsh = {
attack = 0.3
}
river = {
attack = 0.40
}
active = no
air_attack = 0.33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4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5" t="s">
        <v>106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 t="shared" si="0"/>
        <v>militia_brigade = {</v>
      </c>
      <c r="BO22" s="2" t="str">
        <f t="shared" si="62"/>
        <v/>
      </c>
      <c r="BP22" s="2" t="str">
        <f t="shared" si="1"/>
        <v/>
      </c>
      <c r="BQ22" s="2" t="str">
        <f t="shared" si="2"/>
        <v/>
      </c>
      <c r="BR22" s="2" t="str">
        <f t="shared" si="3"/>
        <v/>
      </c>
      <c r="BS22" s="2" t="str">
        <f t="shared" si="4"/>
        <v/>
      </c>
      <c r="BT22" s="2" t="str">
        <f t="shared" si="5"/>
        <v/>
      </c>
      <c r="BU22" s="2" t="str">
        <f t="shared" si="6"/>
        <v/>
      </c>
      <c r="BV22" s="2" t="str">
        <f t="shared" si="7"/>
        <v/>
      </c>
      <c r="BW22" s="2" t="str">
        <f t="shared" si="8"/>
        <v/>
      </c>
      <c r="BX22" s="2" t="str">
        <f t="shared" si="9"/>
        <v/>
      </c>
      <c r="BY22" s="2" t="str">
        <f t="shared" si="10"/>
        <v/>
      </c>
      <c r="BZ22" s="2" t="str">
        <f t="shared" si="11"/>
        <v/>
      </c>
      <c r="CA22" s="2" t="str">
        <f t="shared" si="12"/>
        <v/>
      </c>
      <c r="CB22" s="2" t="str">
        <f t="shared" si="13"/>
        <v xml:space="preserve">
urban = {
attack = 0.05
defence = 0.15
}</v>
      </c>
      <c r="CC22" s="2" t="str">
        <f t="shared" si="14"/>
        <v/>
      </c>
      <c r="CD22" s="2" t="str">
        <f t="shared" si="15"/>
        <v/>
      </c>
      <c r="CE22" s="2" t="str">
        <f t="shared" si="16"/>
        <v>air_attack = 0.00</v>
      </c>
      <c r="CF22" s="2" t="str">
        <f t="shared" si="17"/>
        <v>air_defence = 2.00</v>
      </c>
      <c r="CG22" s="2" t="str">
        <f t="shared" si="18"/>
        <v>amphibious = { attack = -0.20 }</v>
      </c>
      <c r="CH22" s="2" t="str">
        <f t="shared" si="19"/>
        <v/>
      </c>
      <c r="CI22" s="2" t="str">
        <f t="shared" si="20"/>
        <v/>
      </c>
      <c r="CJ22" s="2" t="str">
        <f t="shared" si="21"/>
        <v/>
      </c>
      <c r="CK22" s="2" t="str">
        <f t="shared" si="22"/>
        <v>build_cost_ic = 3.1</v>
      </c>
      <c r="CL22" s="2" t="str">
        <f t="shared" si="23"/>
        <v>build_cost_manpower = 4.67</v>
      </c>
      <c r="CM22" s="2" t="str">
        <f t="shared" si="24"/>
        <v>build_time = 50</v>
      </c>
      <c r="CN22" s="2" t="str">
        <f t="shared" si="25"/>
        <v/>
      </c>
      <c r="CO22" s="2" t="str">
        <f t="shared" si="26"/>
        <v>combat_width = 2</v>
      </c>
      <c r="CP22" s="2" t="str">
        <f t="shared" si="27"/>
        <v>completion_size = 0.1</v>
      </c>
      <c r="CQ22" s="2" t="str">
        <f t="shared" si="28"/>
        <v>default_morale = 0.15</v>
      </c>
      <c r="CR22" s="2" t="str">
        <f t="shared" si="29"/>
        <v>default_organisation = 15</v>
      </c>
      <c r="CS22" s="2" t="str">
        <f t="shared" si="30"/>
        <v>defensiveness = 3.00</v>
      </c>
      <c r="CT22" s="2" t="str">
        <f t="shared" si="31"/>
        <v>forest = { defence = 0.10 }</v>
      </c>
      <c r="CU22" s="2" t="str">
        <f t="shared" si="32"/>
        <v/>
      </c>
      <c r="CV22" s="2" t="str">
        <f t="shared" si="33"/>
        <v>fuel_consumption = 0.00</v>
      </c>
      <c r="CW22" s="2" t="str">
        <f t="shared" si="34"/>
        <v>hard_attack = 0.00</v>
      </c>
      <c r="CX22" s="2" t="str">
        <f t="shared" si="35"/>
        <v>hills = { defence = 0.05 }</v>
      </c>
      <c r="CY22" s="2" t="str">
        <f t="shared" si="36"/>
        <v/>
      </c>
      <c r="CZ22" s="2" t="str">
        <f t="shared" si="37"/>
        <v/>
      </c>
      <c r="DA22" s="2" t="str">
        <f t="shared" si="38"/>
        <v/>
      </c>
      <c r="DB22" s="2" t="str">
        <f t="shared" si="39"/>
        <v>jungle = { defence = 0.15 }</v>
      </c>
      <c r="DC22" s="2" t="str">
        <f t="shared" si="40"/>
        <v/>
      </c>
      <c r="DD22" s="2" t="str">
        <f t="shared" si="41"/>
        <v>max_strength = 70</v>
      </c>
      <c r="DE22" s="2" t="str">
        <f t="shared" si="42"/>
        <v>maximum_speed = 3.00</v>
      </c>
      <c r="DF22" s="2" t="str">
        <f t="shared" si="43"/>
        <v/>
      </c>
      <c r="DG22" s="2" t="str">
        <f t="shared" si="44"/>
        <v>officers = 20</v>
      </c>
      <c r="DH22" s="2" t="str">
        <f t="shared" si="45"/>
        <v>on_completion = militia_practical</v>
      </c>
      <c r="DI22" s="2" t="str">
        <f t="shared" si="46"/>
        <v/>
      </c>
      <c r="DJ22" s="2" t="str">
        <f t="shared" si="47"/>
        <v>priority = 6</v>
      </c>
      <c r="DK22" s="2" t="str">
        <f t="shared" si="48"/>
        <v>radio_strength = 1</v>
      </c>
      <c r="DL22" s="2" t="str">
        <f t="shared" si="49"/>
        <v>repair_cost_multiplier = 0.05</v>
      </c>
      <c r="DM22" s="2" t="str">
        <f t="shared" si="50"/>
        <v>river = { attack = -0.10 }</v>
      </c>
      <c r="DN22" s="2" t="str">
        <f t="shared" si="51"/>
        <v>soft_attack = 0.67</v>
      </c>
      <c r="DO22" s="2" t="str">
        <f t="shared" si="52"/>
        <v>softness = 1.00</v>
      </c>
      <c r="DP22" s="2" t="str">
        <f t="shared" si="53"/>
        <v>sprite = Infantry</v>
      </c>
      <c r="DQ22" s="2" t="str">
        <f t="shared" si="54"/>
        <v>supply_consumption = 0.47</v>
      </c>
      <c r="DR22" s="2" t="str">
        <f t="shared" si="55"/>
        <v>suppression = 0.66</v>
      </c>
      <c r="DS22" s="2" t="str">
        <f t="shared" si="56"/>
        <v>toughness = 0.47</v>
      </c>
      <c r="DT22" s="2" t="str">
        <f t="shared" si="57"/>
        <v>transport_weight = 10</v>
      </c>
      <c r="DU22" s="2" t="str">
        <f t="shared" si="58"/>
        <v>type = land</v>
      </c>
      <c r="DV22" s="2" t="str">
        <f t="shared" si="59"/>
        <v/>
      </c>
      <c r="DW22" s="2" t="str">
        <f t="shared" si="60"/>
        <v/>
      </c>
      <c r="DX22" s="2" t="str">
        <f t="shared" si="61"/>
        <v/>
      </c>
      <c r="DY22" s="2" t="s">
        <v>0</v>
      </c>
      <c r="DZ22" s="2" t="str">
        <f t="shared" si="63"/>
        <v xml:space="preserve">militia_brigade = {
urban = {
attack = 0.05
defence = 0.15
}
air_attack = 0.00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4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5" t="s">
        <v>106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 t="shared" si="0"/>
        <v>partisan_brigade = {</v>
      </c>
      <c r="BO23" s="2" t="str">
        <f t="shared" si="62"/>
        <v/>
      </c>
      <c r="BP23" s="2" t="str">
        <f t="shared" si="1"/>
        <v/>
      </c>
      <c r="BQ23" s="2" t="str">
        <f t="shared" si="2"/>
        <v/>
      </c>
      <c r="BR23" s="2" t="str">
        <f t="shared" si="3"/>
        <v/>
      </c>
      <c r="BS23" s="2" t="str">
        <f t="shared" si="4"/>
        <v/>
      </c>
      <c r="BT23" s="2" t="str">
        <f t="shared" si="5"/>
        <v/>
      </c>
      <c r="BU23" s="2" t="str">
        <f t="shared" si="6"/>
        <v/>
      </c>
      <c r="BV23" s="2" t="str">
        <f t="shared" si="7"/>
        <v/>
      </c>
      <c r="BW23" s="2" t="str">
        <f t="shared" si="8"/>
        <v/>
      </c>
      <c r="BX23" s="2" t="str">
        <f t="shared" si="9"/>
        <v/>
      </c>
      <c r="BY23" s="2" t="str">
        <f t="shared" si="10"/>
        <v/>
      </c>
      <c r="BZ23" s="2" t="str">
        <f t="shared" si="11"/>
        <v/>
      </c>
      <c r="CA23" s="2" t="str">
        <f t="shared" si="12"/>
        <v/>
      </c>
      <c r="CB23" s="2" t="str">
        <f t="shared" si="13"/>
        <v/>
      </c>
      <c r="CC23" s="2" t="str">
        <f t="shared" si="14"/>
        <v/>
      </c>
      <c r="CD23" s="2" t="str">
        <f t="shared" si="15"/>
        <v/>
      </c>
      <c r="CE23" s="2" t="str">
        <f t="shared" si="16"/>
        <v>air_attack = 0.00</v>
      </c>
      <c r="CF23" s="2" t="str">
        <f t="shared" si="17"/>
        <v>air_defence = 1.00</v>
      </c>
      <c r="CG23" s="2" t="str">
        <f t="shared" si="18"/>
        <v>amphibious = { attack = -0.25 }</v>
      </c>
      <c r="CH23" s="2" t="str">
        <f t="shared" si="19"/>
        <v>ap_attack = 0.5</v>
      </c>
      <c r="CI23" s="2" t="str">
        <f t="shared" si="20"/>
        <v/>
      </c>
      <c r="CJ23" s="2" t="str">
        <f t="shared" si="21"/>
        <v/>
      </c>
      <c r="CK23" s="2" t="str">
        <f t="shared" si="22"/>
        <v>build_cost_ic = 2.22</v>
      </c>
      <c r="CL23" s="2" t="str">
        <f t="shared" si="23"/>
        <v>build_cost_manpower = 4.67</v>
      </c>
      <c r="CM23" s="2" t="str">
        <f t="shared" si="24"/>
        <v>build_time = 50</v>
      </c>
      <c r="CN23" s="2" t="str">
        <f t="shared" si="25"/>
        <v/>
      </c>
      <c r="CO23" s="2" t="str">
        <f t="shared" si="26"/>
        <v>combat_width = 2</v>
      </c>
      <c r="CP23" s="2" t="str">
        <f t="shared" si="27"/>
        <v>completion_size = 0.1</v>
      </c>
      <c r="CQ23" s="2" t="str">
        <f t="shared" si="28"/>
        <v>default_morale = 0.15</v>
      </c>
      <c r="CR23" s="2" t="str">
        <f t="shared" si="29"/>
        <v>default_organisation = 15</v>
      </c>
      <c r="CS23" s="2" t="str">
        <f t="shared" si="30"/>
        <v>defensiveness = 3.00</v>
      </c>
      <c r="CT23" s="2" t="str">
        <f t="shared" si="31"/>
        <v>forest = { defence = 0.15 }</v>
      </c>
      <c r="CU23" s="2" t="str">
        <f t="shared" si="32"/>
        <v/>
      </c>
      <c r="CV23" s="2" t="str">
        <f t="shared" si="33"/>
        <v>fuel_consumption = 0.00</v>
      </c>
      <c r="CW23" s="2" t="str">
        <f t="shared" si="34"/>
        <v>hard_attack = 0.00</v>
      </c>
      <c r="CX23" s="2" t="str">
        <f t="shared" si="35"/>
        <v>hills = { defence = 0.10 }</v>
      </c>
      <c r="CY23" s="2" t="str">
        <f t="shared" si="36"/>
        <v/>
      </c>
      <c r="CZ23" s="2" t="str">
        <f t="shared" si="37"/>
        <v>is_buildable = no</v>
      </c>
      <c r="DA23" s="2" t="str">
        <f t="shared" si="38"/>
        <v/>
      </c>
      <c r="DB23" s="2" t="str">
        <f t="shared" si="39"/>
        <v>jungle = { defence = 0.20 }</v>
      </c>
      <c r="DC23" s="2" t="str">
        <f t="shared" si="40"/>
        <v/>
      </c>
      <c r="DD23" s="2" t="str">
        <f t="shared" si="41"/>
        <v>max_strength = 70</v>
      </c>
      <c r="DE23" s="2" t="str">
        <f t="shared" si="42"/>
        <v>maximum_speed = 3.00</v>
      </c>
      <c r="DF23" s="2" t="str">
        <f t="shared" si="43"/>
        <v/>
      </c>
      <c r="DG23" s="2" t="str">
        <f t="shared" si="44"/>
        <v>officers = 20</v>
      </c>
      <c r="DH23" s="2" t="str">
        <f t="shared" si="45"/>
        <v>on_completion = militia_practical</v>
      </c>
      <c r="DI23" s="2" t="str">
        <f t="shared" si="46"/>
        <v/>
      </c>
      <c r="DJ23" s="2" t="str">
        <f t="shared" si="47"/>
        <v>priority = 6</v>
      </c>
      <c r="DK23" s="2" t="str">
        <f t="shared" si="48"/>
        <v>radio_strength = 1</v>
      </c>
      <c r="DL23" s="2" t="str">
        <f t="shared" si="49"/>
        <v>repair_cost_multiplier = 0.05</v>
      </c>
      <c r="DM23" s="2" t="str">
        <f t="shared" si="50"/>
        <v>river = { attack = -0.15 }</v>
      </c>
      <c r="DN23" s="2" t="str">
        <f t="shared" si="51"/>
        <v>soft_attack = 0.67</v>
      </c>
      <c r="DO23" s="2" t="str">
        <f t="shared" si="52"/>
        <v>softness = 1.00</v>
      </c>
      <c r="DP23" s="2" t="str">
        <f t="shared" si="53"/>
        <v>sprite = Infantry</v>
      </c>
      <c r="DQ23" s="2" t="str">
        <f t="shared" si="54"/>
        <v>supply_consumption = 0</v>
      </c>
      <c r="DR23" s="2" t="str">
        <f t="shared" si="55"/>
        <v>suppression = 0.33</v>
      </c>
      <c r="DS23" s="2" t="str">
        <f t="shared" si="56"/>
        <v>toughness = 0.47</v>
      </c>
      <c r="DT23" s="2" t="str">
        <f t="shared" si="57"/>
        <v>transport_weight = 5.00</v>
      </c>
      <c r="DU23" s="2" t="str">
        <f t="shared" si="58"/>
        <v>type = land</v>
      </c>
      <c r="DV23" s="2" t="str">
        <f t="shared" si="59"/>
        <v>unit_group = infantry_unit_type</v>
      </c>
      <c r="DW23" s="2" t="str">
        <f t="shared" si="60"/>
        <v/>
      </c>
      <c r="DX23" s="2" t="str">
        <f t="shared" si="61"/>
        <v/>
      </c>
      <c r="DY23" s="2" t="s">
        <v>0</v>
      </c>
      <c r="DZ23" s="2" t="str">
        <f t="shared" si="63"/>
        <v xml:space="preserve">partisan_brigade = {
air_attack = 0.00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4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5" t="s">
        <v>106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 t="shared" si="0"/>
        <v>police_brigade = {</v>
      </c>
      <c r="BO24" s="2" t="str">
        <f t="shared" si="62"/>
        <v/>
      </c>
      <c r="BP24" s="2" t="str">
        <f t="shared" si="1"/>
        <v/>
      </c>
      <c r="BQ24" s="2" t="str">
        <f t="shared" si="2"/>
        <v/>
      </c>
      <c r="BR24" s="2" t="str">
        <f t="shared" si="3"/>
        <v/>
      </c>
      <c r="BS24" s="2" t="str">
        <f t="shared" si="4"/>
        <v/>
      </c>
      <c r="BT24" s="2" t="str">
        <f t="shared" si="5"/>
        <v/>
      </c>
      <c r="BU24" s="2" t="str">
        <f t="shared" si="6"/>
        <v/>
      </c>
      <c r="BV24" s="2" t="str">
        <f t="shared" si="7"/>
        <v/>
      </c>
      <c r="BW24" s="2" t="str">
        <f t="shared" si="8"/>
        <v/>
      </c>
      <c r="BX24" s="2" t="str">
        <f t="shared" si="9"/>
        <v/>
      </c>
      <c r="BY24" s="2" t="str">
        <f t="shared" si="10"/>
        <v/>
      </c>
      <c r="BZ24" s="2" t="str">
        <f t="shared" si="11"/>
        <v/>
      </c>
      <c r="CA24" s="2" t="str">
        <f t="shared" si="12"/>
        <v/>
      </c>
      <c r="CB24" s="2" t="str">
        <f t="shared" si="13"/>
        <v/>
      </c>
      <c r="CC24" s="2" t="str">
        <f t="shared" si="14"/>
        <v/>
      </c>
      <c r="CD24" s="2" t="str">
        <f t="shared" si="15"/>
        <v/>
      </c>
      <c r="CE24" s="2" t="str">
        <f t="shared" si="16"/>
        <v>air_attack = 0.00</v>
      </c>
      <c r="CF24" s="2" t="str">
        <f t="shared" si="17"/>
        <v>air_defence = 2.00</v>
      </c>
      <c r="CG24" s="2" t="str">
        <f t="shared" si="18"/>
        <v>amphibious = { attack = -0.10 }</v>
      </c>
      <c r="CH24" s="2" t="str">
        <f t="shared" si="19"/>
        <v/>
      </c>
      <c r="CI24" s="2" t="str">
        <f t="shared" si="20"/>
        <v/>
      </c>
      <c r="CJ24" s="2" t="str">
        <f t="shared" si="21"/>
        <v/>
      </c>
      <c r="CK24" s="2" t="str">
        <f t="shared" si="22"/>
        <v>build_cost_ic = 3.00</v>
      </c>
      <c r="CL24" s="2" t="str">
        <f t="shared" si="23"/>
        <v>build_cost_manpower = 0.75</v>
      </c>
      <c r="CM24" s="2" t="str">
        <f t="shared" si="24"/>
        <v>build_time = 60</v>
      </c>
      <c r="CN24" s="2" t="str">
        <f t="shared" si="25"/>
        <v/>
      </c>
      <c r="CO24" s="2" t="str">
        <f t="shared" si="26"/>
        <v>combat_width = 0</v>
      </c>
      <c r="CP24" s="2" t="str">
        <f t="shared" si="27"/>
        <v>completion_size = 0.2</v>
      </c>
      <c r="CQ24" s="2" t="str">
        <f t="shared" si="28"/>
        <v>default_morale = 0.25</v>
      </c>
      <c r="CR24" s="2" t="str">
        <f t="shared" si="29"/>
        <v>default_organisation = 20</v>
      </c>
      <c r="CS24" s="2" t="str">
        <f t="shared" si="30"/>
        <v>defensiveness = 3.00</v>
      </c>
      <c r="CT24" s="2" t="str">
        <f t="shared" si="31"/>
        <v/>
      </c>
      <c r="CU24" s="2" t="str">
        <f t="shared" si="32"/>
        <v/>
      </c>
      <c r="CV24" s="2" t="str">
        <f t="shared" si="33"/>
        <v>fuel_consumption = 0.00</v>
      </c>
      <c r="CW24" s="2" t="str">
        <f t="shared" si="34"/>
        <v>hard_attack = 0.00</v>
      </c>
      <c r="CX24" s="2" t="str">
        <f t="shared" si="35"/>
        <v/>
      </c>
      <c r="CY24" s="2" t="str">
        <f t="shared" si="36"/>
        <v/>
      </c>
      <c r="CZ24" s="2" t="str">
        <f t="shared" si="37"/>
        <v/>
      </c>
      <c r="DA24" s="2" t="str">
        <f t="shared" si="38"/>
        <v/>
      </c>
      <c r="DB24" s="2" t="str">
        <f t="shared" si="39"/>
        <v/>
      </c>
      <c r="DC24" s="2" t="str">
        <f t="shared" si="40"/>
        <v/>
      </c>
      <c r="DD24" s="2" t="str">
        <f t="shared" si="41"/>
        <v>max_strength = 10</v>
      </c>
      <c r="DE24" s="2" t="str">
        <f t="shared" si="42"/>
        <v>maximum_speed = 4.00</v>
      </c>
      <c r="DF24" s="2" t="str">
        <f t="shared" si="43"/>
        <v/>
      </c>
      <c r="DG24" s="2" t="str">
        <f t="shared" si="44"/>
        <v>officers = 50</v>
      </c>
      <c r="DH24" s="2" t="str">
        <f t="shared" si="45"/>
        <v>on_completion = militia_practical</v>
      </c>
      <c r="DI24" s="2" t="str">
        <f t="shared" si="46"/>
        <v/>
      </c>
      <c r="DJ24" s="2" t="str">
        <f t="shared" si="47"/>
        <v>priority = 2</v>
      </c>
      <c r="DK24" s="2" t="str">
        <f t="shared" si="48"/>
        <v>radio_strength = 1</v>
      </c>
      <c r="DL24" s="2" t="str">
        <f t="shared" si="49"/>
        <v>repair_cost_multiplier = 0.05</v>
      </c>
      <c r="DM24" s="2" t="str">
        <f t="shared" si="50"/>
        <v/>
      </c>
      <c r="DN24" s="2" t="str">
        <f t="shared" si="51"/>
        <v>soft_attack = 0.67</v>
      </c>
      <c r="DO24" s="2" t="str">
        <f t="shared" si="52"/>
        <v>softness = 1.00</v>
      </c>
      <c r="DP24" s="2" t="str">
        <f t="shared" si="53"/>
        <v>sprite = Infantry</v>
      </c>
      <c r="DQ24" s="2" t="str">
        <f t="shared" si="54"/>
        <v>supply_consumption = 0.7</v>
      </c>
      <c r="DR24" s="2" t="str">
        <f t="shared" si="55"/>
        <v>suppression = 3.00</v>
      </c>
      <c r="DS24" s="2" t="str">
        <f t="shared" si="56"/>
        <v>toughness = 0.7</v>
      </c>
      <c r="DT24" s="2" t="str">
        <f t="shared" si="57"/>
        <v>transport_weight = 5.00</v>
      </c>
      <c r="DU24" s="2" t="str">
        <f t="shared" si="58"/>
        <v>type = land</v>
      </c>
      <c r="DV24" s="2" t="str">
        <f t="shared" si="59"/>
        <v/>
      </c>
      <c r="DW24" s="2" t="str">
        <f t="shared" si="60"/>
        <v/>
      </c>
      <c r="DX24" s="2" t="str">
        <f t="shared" si="61"/>
        <v/>
      </c>
      <c r="DY24" s="2" t="s">
        <v>0</v>
      </c>
      <c r="DZ24" s="2" t="str">
        <f t="shared" si="63"/>
        <v xml:space="preserve">police_brigade = {
air_attack = 0.00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4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5" t="s">
        <v>107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 t="shared" si="0"/>
        <v>ranger_brigade = {</v>
      </c>
      <c r="BO25" s="2" t="str">
        <f t="shared" si="62"/>
        <v/>
      </c>
      <c r="BP25" s="2" t="str">
        <f t="shared" si="1"/>
        <v/>
      </c>
      <c r="BQ25" s="2" t="str">
        <f t="shared" si="2"/>
        <v/>
      </c>
      <c r="BR25" s="2" t="str">
        <f t="shared" si="3"/>
        <v/>
      </c>
      <c r="BS25" s="2" t="str">
        <f t="shared" si="4"/>
        <v xml:space="preserve">
forest = {
attack = 0.10
movement = 0.15
}</v>
      </c>
      <c r="BT25" s="2" t="str">
        <f t="shared" si="5"/>
        <v/>
      </c>
      <c r="BU25" s="2" t="str">
        <f t="shared" si="6"/>
        <v xml:space="preserve">
hills = {
attack = 0.05
movement = 0.05
}</v>
      </c>
      <c r="BV25" s="2" t="str">
        <f t="shared" si="7"/>
        <v xml:space="preserve">
jungle = {
attack = 0.10
movement = 0.15
}</v>
      </c>
      <c r="BW25" s="2" t="str">
        <f t="shared" si="8"/>
        <v/>
      </c>
      <c r="BX25" s="2" t="str">
        <f t="shared" si="9"/>
        <v/>
      </c>
      <c r="BY25" s="2" t="str">
        <f t="shared" si="10"/>
        <v xml:space="preserve">
night = {
attack = 0.10
defence = 0.10
movement = 0.10
}</v>
      </c>
      <c r="BZ25" s="2" t="str">
        <f t="shared" si="11"/>
        <v/>
      </c>
      <c r="CA25" s="2" t="str">
        <f t="shared" si="12"/>
        <v/>
      </c>
      <c r="CB25" s="2" t="str">
        <f t="shared" si="13"/>
        <v xml:space="preserve">
urban = {
attack = 0.20
defence = 0.15
}</v>
      </c>
      <c r="CC25" s="2" t="str">
        <f t="shared" si="14"/>
        <v xml:space="preserve">
woods = {
attack = 0.10
movement = 0.15
}</v>
      </c>
      <c r="CD25" s="2" t="str">
        <f t="shared" si="15"/>
        <v/>
      </c>
      <c r="CE25" s="2" t="str">
        <f t="shared" si="16"/>
        <v>air_attack = 0.33</v>
      </c>
      <c r="CF25" s="2" t="str">
        <f t="shared" si="17"/>
        <v>air_defence = 2.00</v>
      </c>
      <c r="CG25" s="2" t="str">
        <f t="shared" si="18"/>
        <v/>
      </c>
      <c r="CH25" s="2" t="str">
        <f t="shared" si="19"/>
        <v>ap_attack = 1</v>
      </c>
      <c r="CI25" s="2" t="str">
        <f t="shared" si="20"/>
        <v/>
      </c>
      <c r="CJ25" s="2" t="str">
        <f t="shared" si="21"/>
        <v/>
      </c>
      <c r="CK25" s="2" t="str">
        <f t="shared" si="22"/>
        <v>build_cost_ic = 6.23</v>
      </c>
      <c r="CL25" s="2" t="str">
        <f t="shared" si="23"/>
        <v>build_cost_manpower = 9.33</v>
      </c>
      <c r="CM25" s="2" t="str">
        <f t="shared" si="24"/>
        <v>build_time = 150</v>
      </c>
      <c r="CN25" s="2" t="str">
        <f t="shared" si="25"/>
        <v/>
      </c>
      <c r="CO25" s="2" t="str">
        <f t="shared" si="26"/>
        <v>combat_width = 2</v>
      </c>
      <c r="CP25" s="2" t="str">
        <f t="shared" si="27"/>
        <v>completion_size = 0.2</v>
      </c>
      <c r="CQ25" s="2" t="str">
        <f t="shared" si="28"/>
        <v>default_morale = 0.35</v>
      </c>
      <c r="CR25" s="2" t="str">
        <f t="shared" si="29"/>
        <v>default_organisation = 30</v>
      </c>
      <c r="CS25" s="2" t="str">
        <f t="shared" si="30"/>
        <v>defensiveness = 4.00</v>
      </c>
      <c r="CT25" s="2" t="str">
        <f t="shared" si="31"/>
        <v/>
      </c>
      <c r="CU25" s="2" t="str">
        <f t="shared" si="32"/>
        <v/>
      </c>
      <c r="CV25" s="2" t="str">
        <f t="shared" si="33"/>
        <v>fuel_consumption = 0.00</v>
      </c>
      <c r="CW25" s="2" t="str">
        <f t="shared" si="34"/>
        <v>hard_attack = 0.67</v>
      </c>
      <c r="CX25" s="2" t="str">
        <f t="shared" si="35"/>
        <v/>
      </c>
      <c r="CY25" s="2" t="str">
        <f t="shared" si="36"/>
        <v/>
      </c>
      <c r="CZ25" s="2" t="str">
        <f t="shared" si="37"/>
        <v/>
      </c>
      <c r="DA25" s="2" t="str">
        <f t="shared" si="38"/>
        <v/>
      </c>
      <c r="DB25" s="2" t="str">
        <f t="shared" si="39"/>
        <v/>
      </c>
      <c r="DC25" s="2" t="str">
        <f t="shared" si="40"/>
        <v>max_percentage_of_type = 0.04</v>
      </c>
      <c r="DD25" s="2" t="str">
        <f t="shared" si="41"/>
        <v>max_strength = 70</v>
      </c>
      <c r="DE25" s="2" t="str">
        <f t="shared" si="42"/>
        <v>maximum_speed = 4.00</v>
      </c>
      <c r="DF25" s="2" t="str">
        <f t="shared" si="43"/>
        <v>minimum_of_type = 6</v>
      </c>
      <c r="DG25" s="2" t="str">
        <f t="shared" si="44"/>
        <v>officers = 250</v>
      </c>
      <c r="DH25" s="2" t="str">
        <f t="shared" si="45"/>
        <v>on_completion = infantry_practical</v>
      </c>
      <c r="DI25" s="2" t="str">
        <f t="shared" si="46"/>
        <v/>
      </c>
      <c r="DJ25" s="2" t="str">
        <f t="shared" si="47"/>
        <v>priority = 9</v>
      </c>
      <c r="DK25" s="2" t="str">
        <f t="shared" si="48"/>
        <v>radio_strength = 1</v>
      </c>
      <c r="DL25" s="2" t="str">
        <f t="shared" si="49"/>
        <v>repair_cost_multiplier = 0.05</v>
      </c>
      <c r="DM25" s="2" t="str">
        <f t="shared" si="50"/>
        <v/>
      </c>
      <c r="DN25" s="2" t="str">
        <f t="shared" si="51"/>
        <v>soft_attack = 2.00</v>
      </c>
      <c r="DO25" s="2" t="str">
        <f t="shared" si="52"/>
        <v>softness = 1.00</v>
      </c>
      <c r="DP25" s="2" t="str">
        <f t="shared" si="53"/>
        <v>sprite = Elite</v>
      </c>
      <c r="DQ25" s="2" t="str">
        <f t="shared" si="54"/>
        <v>supply_consumption = 1.56</v>
      </c>
      <c r="DR25" s="2" t="str">
        <f t="shared" si="55"/>
        <v>suppression = 2</v>
      </c>
      <c r="DS25" s="2" t="str">
        <f t="shared" si="56"/>
        <v>toughness = 2.1</v>
      </c>
      <c r="DT25" s="2" t="str">
        <f t="shared" si="57"/>
        <v>transport_weight = 10</v>
      </c>
      <c r="DU25" s="2" t="str">
        <f t="shared" si="58"/>
        <v>type = land</v>
      </c>
      <c r="DV25" s="2" t="str">
        <f t="shared" si="59"/>
        <v>unit_group = infantry_unit_type</v>
      </c>
      <c r="DW25" s="2" t="str">
        <f t="shared" si="60"/>
        <v/>
      </c>
      <c r="DX25" s="2" t="str">
        <f t="shared" si="61"/>
        <v>usable_by = { USA }</v>
      </c>
      <c r="DY25" s="2" t="s">
        <v>0</v>
      </c>
      <c r="DZ25" s="2" t="str">
        <f t="shared" si="63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4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5" t="s">
        <v>107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2"/>
        <v/>
      </c>
      <c r="BP26" s="2" t="str">
        <f t="shared" si="1"/>
        <v/>
      </c>
      <c r="BQ26" s="2" t="str">
        <f t="shared" si="2"/>
        <v/>
      </c>
      <c r="BR26" s="2" t="str">
        <f t="shared" si="3"/>
        <v/>
      </c>
      <c r="BS26" s="2" t="str">
        <f t="shared" si="4"/>
        <v xml:space="preserve">
forest = {
attack = 0.10
movement = 0.15
}</v>
      </c>
      <c r="BT26" s="2" t="str">
        <f t="shared" si="5"/>
        <v/>
      </c>
      <c r="BU26" s="2" t="str">
        <f t="shared" si="6"/>
        <v xml:space="preserve">
hills = {
attack = 0.05
movement = 0.05
}</v>
      </c>
      <c r="BV26" s="2" t="str">
        <f t="shared" si="7"/>
        <v xml:space="preserve">
jungle = {
attack = 0.10
movement = 0.15
}</v>
      </c>
      <c r="BW26" s="2" t="str">
        <f t="shared" si="8"/>
        <v/>
      </c>
      <c r="BX26" s="2" t="str">
        <f t="shared" si="9"/>
        <v/>
      </c>
      <c r="BY26" s="2" t="str">
        <f t="shared" si="10"/>
        <v xml:space="preserve">
night = {
attack = 0.10
defence = 0.10
movement = 0.10
}</v>
      </c>
      <c r="BZ26" s="2" t="str">
        <f t="shared" si="11"/>
        <v/>
      </c>
      <c r="CA26" s="2" t="str">
        <f t="shared" si="12"/>
        <v/>
      </c>
      <c r="CB26" s="2" t="str">
        <f t="shared" si="13"/>
        <v xml:space="preserve">
urban = {
attack = 0.20
defence = 0.15
}</v>
      </c>
      <c r="CC26" s="2" t="str">
        <f t="shared" si="14"/>
        <v xml:space="preserve">
woods = {
attack = 0.10
movement = 0.15
}</v>
      </c>
      <c r="CD26" s="2" t="str">
        <f t="shared" si="15"/>
        <v/>
      </c>
      <c r="CE26" s="2" t="str">
        <f t="shared" si="16"/>
        <v>air_attack = 0.33</v>
      </c>
      <c r="CF26" s="2" t="str">
        <f t="shared" si="17"/>
        <v>air_defence = 2.00</v>
      </c>
      <c r="CG26" s="2" t="str">
        <f t="shared" si="18"/>
        <v/>
      </c>
      <c r="CH26" s="2" t="str">
        <f t="shared" si="19"/>
        <v>ap_attack = 1</v>
      </c>
      <c r="CI26" s="2" t="str">
        <f t="shared" si="20"/>
        <v/>
      </c>
      <c r="CJ26" s="2" t="str">
        <f t="shared" si="21"/>
        <v/>
      </c>
      <c r="CK26" s="2" t="str">
        <f t="shared" si="22"/>
        <v>build_cost_ic = 6.23</v>
      </c>
      <c r="CL26" s="2" t="str">
        <f t="shared" si="23"/>
        <v>build_cost_manpower = 9.33</v>
      </c>
      <c r="CM26" s="2" t="str">
        <f t="shared" si="24"/>
        <v>build_time = 150</v>
      </c>
      <c r="CN26" s="2" t="str">
        <f t="shared" si="25"/>
        <v/>
      </c>
      <c r="CO26" s="2" t="str">
        <f t="shared" si="26"/>
        <v>combat_width = 2</v>
      </c>
      <c r="CP26" s="2" t="str">
        <f t="shared" si="27"/>
        <v>completion_size = 0.3</v>
      </c>
      <c r="CQ26" s="2" t="str">
        <f t="shared" si="28"/>
        <v>default_morale = 0.35</v>
      </c>
      <c r="CR26" s="2" t="str">
        <f t="shared" si="29"/>
        <v>default_organisation = 30</v>
      </c>
      <c r="CS26" s="2" t="str">
        <f t="shared" si="30"/>
        <v>defensiveness = 4.00</v>
      </c>
      <c r="CT26" s="2" t="str">
        <f t="shared" si="31"/>
        <v/>
      </c>
      <c r="CU26" s="2" t="str">
        <f t="shared" si="32"/>
        <v/>
      </c>
      <c r="CV26" s="2" t="str">
        <f t="shared" si="33"/>
        <v>fuel_consumption = 0.00</v>
      </c>
      <c r="CW26" s="2" t="str">
        <f t="shared" si="34"/>
        <v>hard_attack = 0.67</v>
      </c>
      <c r="CX26" s="2" t="str">
        <f t="shared" si="35"/>
        <v/>
      </c>
      <c r="CY26" s="2" t="str">
        <f t="shared" si="36"/>
        <v/>
      </c>
      <c r="CZ26" s="2" t="str">
        <f t="shared" si="37"/>
        <v/>
      </c>
      <c r="DA26" s="2" t="str">
        <f t="shared" si="38"/>
        <v/>
      </c>
      <c r="DB26" s="2" t="str">
        <f t="shared" si="39"/>
        <v/>
      </c>
      <c r="DC26" s="2" t="str">
        <f t="shared" si="40"/>
        <v>max_percentage_of_type = 0.04</v>
      </c>
      <c r="DD26" s="2" t="str">
        <f t="shared" si="41"/>
        <v>max_strength = 70</v>
      </c>
      <c r="DE26" s="2" t="str">
        <f t="shared" si="42"/>
        <v>maximum_speed = 4.00</v>
      </c>
      <c r="DF26" s="2" t="str">
        <f t="shared" si="43"/>
        <v>minimum_of_type = 6</v>
      </c>
      <c r="DG26" s="2" t="str">
        <f t="shared" si="44"/>
        <v>officers = 250</v>
      </c>
      <c r="DH26" s="2" t="str">
        <f t="shared" si="45"/>
        <v>on_completion = infantry_practical</v>
      </c>
      <c r="DI26" s="2" t="str">
        <f t="shared" si="46"/>
        <v/>
      </c>
      <c r="DJ26" s="2" t="str">
        <f t="shared" si="47"/>
        <v>priority = 9</v>
      </c>
      <c r="DK26" s="2" t="str">
        <f t="shared" si="48"/>
        <v>radio_strength = 1</v>
      </c>
      <c r="DL26" s="2" t="str">
        <f t="shared" si="49"/>
        <v>repair_cost_multiplier = 0.05</v>
      </c>
      <c r="DM26" s="2" t="str">
        <f t="shared" si="50"/>
        <v/>
      </c>
      <c r="DN26" s="2" t="str">
        <f t="shared" si="51"/>
        <v>soft_attack = 2.00</v>
      </c>
      <c r="DO26" s="2" t="str">
        <f t="shared" si="52"/>
        <v>softness = 1.00</v>
      </c>
      <c r="DP26" s="2" t="str">
        <f t="shared" si="53"/>
        <v>sprite = Elite</v>
      </c>
      <c r="DQ26" s="2" t="str">
        <f t="shared" si="54"/>
        <v>supply_consumption = 1.56</v>
      </c>
      <c r="DR26" s="2" t="str">
        <f t="shared" si="55"/>
        <v>suppression = 6</v>
      </c>
      <c r="DS26" s="2" t="str">
        <f t="shared" si="56"/>
        <v>toughness = 2.1</v>
      </c>
      <c r="DT26" s="2" t="str">
        <f t="shared" si="57"/>
        <v>transport_weight = 10</v>
      </c>
      <c r="DU26" s="2" t="str">
        <f t="shared" si="58"/>
        <v>type = land</v>
      </c>
      <c r="DV26" s="2" t="str">
        <f t="shared" si="59"/>
        <v>unit_group = infantry_unit_type</v>
      </c>
      <c r="DW26" s="2" t="str">
        <f t="shared" si="60"/>
        <v/>
      </c>
      <c r="DX26" s="2" t="str">
        <f t="shared" si="61"/>
        <v>usable_by = { GER }</v>
      </c>
      <c r="DY26" s="2" t="s">
        <v>0</v>
      </c>
      <c r="DZ26" s="2" t="str">
        <f t="shared" si="63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4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5" t="s">
        <v>100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/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2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2"/>
        <v/>
      </c>
      <c r="BP27" s="2" t="str">
        <f t="shared" si="1"/>
        <v/>
      </c>
      <c r="BQ27" s="2" t="str">
        <f t="shared" si="2"/>
        <v/>
      </c>
      <c r="BR27" s="2" t="str">
        <f t="shared" si="3"/>
        <v/>
      </c>
      <c r="BS27" s="2" t="str">
        <f t="shared" si="4"/>
        <v xml:space="preserve">
forest = {
attack = -0.20
movement = -0.20
}</v>
      </c>
      <c r="BT27" s="2" t="str">
        <f t="shared" si="5"/>
        <v xml:space="preserve">
fort = {
attack = 0.60
}</v>
      </c>
      <c r="BU27" s="2" t="str">
        <f t="shared" si="6"/>
        <v xml:space="preserve">
hills = {
attack = -0.10
movement = -0.10
}</v>
      </c>
      <c r="BV27" s="2" t="str">
        <f t="shared" si="7"/>
        <v xml:space="preserve">
jungle = {
attack = -0.30
movement = -0.30
}</v>
      </c>
      <c r="BW27" s="2" t="str">
        <f t="shared" si="8"/>
        <v xml:space="preserve">
marsh = {
attack = -0.20
movement = -0.70
}</v>
      </c>
      <c r="BX27" s="2" t="str">
        <f t="shared" si="9"/>
        <v xml:space="preserve">
mountain = {
attack = -0.20
movement = -0.70
}</v>
      </c>
      <c r="BY27" s="2" t="str">
        <f t="shared" si="10"/>
        <v/>
      </c>
      <c r="BZ27" s="2" t="str">
        <f t="shared" si="11"/>
        <v/>
      </c>
      <c r="CA27" s="2" t="str">
        <f t="shared" si="12"/>
        <v/>
      </c>
      <c r="CB27" s="2" t="str">
        <f t="shared" si="13"/>
        <v xml:space="preserve">
urban = {
attack = 0.40
}</v>
      </c>
      <c r="CC27" s="2" t="str">
        <f t="shared" si="14"/>
        <v xml:space="preserve">
woods = {
attack = -0.10
movement = -0.10
}</v>
      </c>
      <c r="CD27" s="2" t="str">
        <f t="shared" si="15"/>
        <v>active = no</v>
      </c>
      <c r="CE27" s="2" t="str">
        <f t="shared" si="16"/>
        <v>air_attack = 0.10</v>
      </c>
      <c r="CF27" s="2" t="str">
        <f t="shared" si="17"/>
        <v>air_defence = 1.50</v>
      </c>
      <c r="CG27" s="2" t="str">
        <f t="shared" si="18"/>
        <v>amphibious = { attack = -0.80 }</v>
      </c>
      <c r="CH27" s="2" t="str">
        <f t="shared" si="19"/>
        <v/>
      </c>
      <c r="CI27" s="2" t="str">
        <f t="shared" si="20"/>
        <v/>
      </c>
      <c r="CJ27" s="2" t="str">
        <f t="shared" si="21"/>
        <v/>
      </c>
      <c r="CK27" s="2" t="str">
        <f t="shared" si="22"/>
        <v>build_cost_ic = 10</v>
      </c>
      <c r="CL27" s="2" t="str">
        <f t="shared" si="23"/>
        <v>build_cost_manpower = 2.66</v>
      </c>
      <c r="CM27" s="2" t="str">
        <f t="shared" si="24"/>
        <v>build_time = 150</v>
      </c>
      <c r="CN27" s="2" t="str">
        <f t="shared" si="25"/>
        <v/>
      </c>
      <c r="CO27" s="2" t="str">
        <f t="shared" si="26"/>
        <v>combat_width = 0</v>
      </c>
      <c r="CP27" s="2" t="str">
        <f t="shared" si="27"/>
        <v>completion_size = 0.5</v>
      </c>
      <c r="CQ27" s="2" t="str">
        <f t="shared" si="28"/>
        <v>default_morale = 0.25</v>
      </c>
      <c r="CR27" s="2" t="str">
        <f t="shared" si="29"/>
        <v>default_organisation = 20</v>
      </c>
      <c r="CS27" s="2" t="str">
        <f t="shared" si="30"/>
        <v>defensiveness = 1</v>
      </c>
      <c r="CT27" s="2" t="str">
        <f t="shared" si="31"/>
        <v/>
      </c>
      <c r="CU27" s="2" t="str">
        <f t="shared" si="32"/>
        <v>fort = {
attack = 0.60
}</v>
      </c>
      <c r="CV27" s="2" t="str">
        <f t="shared" si="33"/>
        <v>fuel_consumption = 0.00</v>
      </c>
      <c r="CW27" s="2" t="str">
        <f t="shared" si="34"/>
        <v>hard_attack = 1.00</v>
      </c>
      <c r="CX27" s="2" t="str">
        <f t="shared" si="35"/>
        <v/>
      </c>
      <c r="CY27" s="2" t="str">
        <f t="shared" si="36"/>
        <v/>
      </c>
      <c r="CZ27" s="2" t="str">
        <f t="shared" si="37"/>
        <v/>
      </c>
      <c r="DA27" s="2" t="str">
        <f t="shared" si="38"/>
        <v/>
      </c>
      <c r="DB27" s="2" t="str">
        <f t="shared" si="39"/>
        <v/>
      </c>
      <c r="DC27" s="2" t="str">
        <f t="shared" si="40"/>
        <v/>
      </c>
      <c r="DD27" s="2" t="str">
        <f t="shared" si="41"/>
        <v>max_strength = 20</v>
      </c>
      <c r="DE27" s="2" t="str">
        <f t="shared" si="42"/>
        <v>maximum_speed = 2</v>
      </c>
      <c r="DF27" s="2" t="str">
        <f t="shared" si="43"/>
        <v/>
      </c>
      <c r="DG27" s="2" t="str">
        <f t="shared" si="44"/>
        <v>officers = 200</v>
      </c>
      <c r="DH27" s="2" t="str">
        <f t="shared" si="45"/>
        <v>on_completion = artillery_practical</v>
      </c>
      <c r="DI27" s="2" t="str">
        <f t="shared" si="46"/>
        <v/>
      </c>
      <c r="DJ27" s="2" t="str">
        <f t="shared" si="47"/>
        <v>priority = 3</v>
      </c>
      <c r="DK27" s="2" t="str">
        <f t="shared" si="48"/>
        <v>radio_strength = 1</v>
      </c>
      <c r="DL27" s="2" t="str">
        <f t="shared" si="49"/>
        <v>repair_cost_multiplier = 0.05</v>
      </c>
      <c r="DM27" s="2" t="str">
        <f t="shared" si="50"/>
        <v>river = { attack = -0.05 }</v>
      </c>
      <c r="DN27" s="2" t="str">
        <f t="shared" si="51"/>
        <v>soft_attack = 4.8</v>
      </c>
      <c r="DO27" s="2" t="str">
        <f t="shared" si="52"/>
        <v>softness = 0.8</v>
      </c>
      <c r="DP27" s="2" t="str">
        <f t="shared" si="53"/>
        <v>sprite = Infantry</v>
      </c>
      <c r="DQ27" s="2" t="str">
        <f t="shared" si="54"/>
        <v>supply_consumption = 2</v>
      </c>
      <c r="DR27" s="2" t="str">
        <f t="shared" si="55"/>
        <v>suppression = 0</v>
      </c>
      <c r="DS27" s="2" t="str">
        <f t="shared" si="56"/>
        <v>toughness = 1</v>
      </c>
      <c r="DT27" s="2" t="str">
        <f t="shared" si="57"/>
        <v>transport_weight = 15</v>
      </c>
      <c r="DU27" s="2" t="str">
        <f t="shared" si="58"/>
        <v>type = land</v>
      </c>
      <c r="DV27" s="2" t="str">
        <f t="shared" si="59"/>
        <v>unit_group = artillery_unit_type</v>
      </c>
      <c r="DW27" s="2" t="str">
        <f t="shared" si="60"/>
        <v/>
      </c>
      <c r="DX27" s="2" t="str">
        <f t="shared" si="61"/>
        <v/>
      </c>
      <c r="DY27" s="2" t="s">
        <v>0</v>
      </c>
      <c r="DZ27" s="2" t="str">
        <f t="shared" ref="DZ27" si="65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0.10
air_defence = 1.50
amphibious = { attack = -0.80 }
build_cost_ic = 10
build_cost_manpower = 2.66
build_time = 150
combat_width = 0
completion_size = 0.5
default_morale = 0.25
default_organisation = 20
defensiveness = 1
fort = {
attack = 0.60
}
fuel_consumption = 0.00
hard_attack = 1.00
max_strength = 20
maximum_speed = 2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278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279</v>
      </c>
      <c r="P29" s="1" t="s">
        <v>280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281</v>
      </c>
      <c r="X29" s="1" t="s">
        <v>39</v>
      </c>
      <c r="Y29" s="1" t="s">
        <v>282</v>
      </c>
      <c r="Z29" s="1" t="s">
        <v>50</v>
      </c>
      <c r="AA29" s="1" t="s">
        <v>28</v>
      </c>
      <c r="AB29" s="1" t="s">
        <v>283</v>
      </c>
      <c r="AC29" s="1" t="s">
        <v>284</v>
      </c>
      <c r="AD29" s="1" t="s">
        <v>42</v>
      </c>
      <c r="AE29" s="1" t="s">
        <v>285</v>
      </c>
      <c r="AF29" s="1" t="s">
        <v>286</v>
      </c>
      <c r="AG29" s="1" t="s">
        <v>287</v>
      </c>
      <c r="AH29" s="1" t="s">
        <v>27</v>
      </c>
      <c r="AI29" s="1"/>
    </row>
    <row r="30" spans="1:130" s="3" customFormat="1" x14ac:dyDescent="0.25">
      <c r="A30" s="2" t="str">
        <f t="shared" ref="A30:A34" ca="1" si="66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>
        <v>1</v>
      </c>
      <c r="G30" s="5">
        <v>14</v>
      </c>
      <c r="H30" s="5" t="s">
        <v>135</v>
      </c>
      <c r="I30" s="5" t="s">
        <v>262</v>
      </c>
      <c r="J30" s="9">
        <v>2</v>
      </c>
      <c r="K30" s="5" t="s">
        <v>241</v>
      </c>
      <c r="L30" s="5" t="s">
        <v>263</v>
      </c>
      <c r="M30" s="5" t="s">
        <v>264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265</v>
      </c>
      <c r="U30" s="5" t="s">
        <v>179</v>
      </c>
      <c r="V30" s="5" t="s">
        <v>102</v>
      </c>
      <c r="W30" s="5" t="s">
        <v>266</v>
      </c>
      <c r="X30" s="5" t="s">
        <v>113</v>
      </c>
      <c r="Y30" s="5" t="s">
        <v>106</v>
      </c>
      <c r="Z30" s="5" t="s">
        <v>115</v>
      </c>
      <c r="AA30" s="5" t="s">
        <v>267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268</v>
      </c>
      <c r="BN30" s="3" t="str">
        <f>B30&amp;" = {"</f>
        <v>airship = {</v>
      </c>
      <c r="BO30" s="3" t="str">
        <f>IF(C30="","",C$29&amp;" = "&amp;C30)</f>
        <v>active = no</v>
      </c>
      <c r="BP30" s="3" t="str">
        <f t="shared" ref="BP30:BP34" si="67">IF(D30="","",D$29&amp;" = "&amp;D30)</f>
        <v>air_attack = 0.5</v>
      </c>
      <c r="BQ30" s="3" t="str">
        <f t="shared" ref="BQ30:BQ34" si="68">IF(E30="","",E$29&amp;" = "&amp;E30)</f>
        <v>air_defence = 3</v>
      </c>
      <c r="BR30" s="3" t="str">
        <f t="shared" ref="BR30:BR34" si="69">IF(F30="","",F$29&amp;" = "&amp;F30)</f>
        <v>air_detection = 1</v>
      </c>
      <c r="BS30" s="3" t="str">
        <f t="shared" ref="BS30:BS34" si="70">IF(G30="","",G$29&amp;" = "&amp;G30)</f>
        <v>build_cost_ic = 14</v>
      </c>
      <c r="BT30" s="3" t="str">
        <f t="shared" ref="BT30:BT34" si="71">IF(H30="","",H$29&amp;" = "&amp;H30)</f>
        <v>build_cost_manpower = 2.00</v>
      </c>
      <c r="BU30" s="3" t="str">
        <f t="shared" ref="BU30:BU34" si="72">IF(I30="","",I$29&amp;" = "&amp;I30)</f>
        <v>build_time = 300</v>
      </c>
      <c r="BV30" s="3" t="str">
        <f t="shared" ref="BV30:BV34" si="73">IF(J30="","",J$29&amp;" = "&amp;J30)</f>
        <v>completion_size = 2</v>
      </c>
      <c r="BW30" s="3" t="str">
        <f t="shared" ref="BW30:BW34" si="74">IF(K30="","",K$29&amp;" = "&amp;K30)</f>
        <v>default_morale = 0.30</v>
      </c>
      <c r="BX30" s="3" t="str">
        <f t="shared" ref="BX30:BX34" si="75">IF(L30="","",L$29&amp;" = "&amp;L30)</f>
        <v>default_organisation = 30</v>
      </c>
      <c r="BY30" s="3" t="str">
        <f t="shared" ref="BY30:BY34" si="76">IF(M30="","",M$29&amp;" = "&amp;M30)</f>
        <v>fuel_consumption = 4.60</v>
      </c>
      <c r="BZ30" s="3" t="str">
        <f t="shared" ref="BZ30:BZ34" si="77">IF(N30="","",N$29&amp;" = "&amp;N30)</f>
        <v>hard_attack = 0.00</v>
      </c>
      <c r="CA30" s="3" t="str">
        <f t="shared" ref="CA30:CA34" si="78">IF(O30="","",O$29&amp;" = "&amp;O30)</f>
        <v>is_bomber = yes</v>
      </c>
      <c r="CB30" s="3" t="str">
        <f t="shared" ref="CB30:CB34" si="79">IF(P30="","",P$29&amp;" = "&amp;P30)</f>
        <v/>
      </c>
      <c r="CC30" s="3" t="str">
        <f t="shared" ref="CC30:CC34" si="80">IF(Q30="","",Q$29&amp;" = "&amp;Q30)</f>
        <v>max_strength = 100</v>
      </c>
      <c r="CD30" s="3" t="str">
        <f t="shared" ref="CD30:CD34" si="81">IF(R30="","",R$29&amp;" = "&amp;R30)</f>
        <v>maximum_speed = 100</v>
      </c>
      <c r="CE30" s="3" t="str">
        <f t="shared" ref="CE30:CE34" si="82">IF(S30="","",S$29&amp;" = "&amp;S30)</f>
        <v>officers = 0</v>
      </c>
      <c r="CF30" s="3" t="str">
        <f t="shared" ref="CF30:CF34" si="83">IF(T30="","",T$29&amp;" = "&amp;T30)</f>
        <v>on_completion = airship_practical</v>
      </c>
      <c r="CG30" s="3" t="str">
        <f t="shared" ref="CG30:CG34" si="84">IF(U30="","",U$29&amp;" = "&amp;U30)</f>
        <v>priority = 4</v>
      </c>
      <c r="CH30" s="3" t="str">
        <f t="shared" ref="CH30:CH34" si="85">IF(V30="","",V$29&amp;" = "&amp;V30)</f>
        <v>radio_strength = 1</v>
      </c>
      <c r="CI30" s="3" t="str">
        <f t="shared" ref="CI30:CI34" si="86">IF(W30="","",W$29&amp;" = "&amp;W30)</f>
        <v>range = 800.00</v>
      </c>
      <c r="CJ30" s="3" t="str">
        <f t="shared" ref="CJ30:CJ34" si="87">IF(X30="","",X$29&amp;" = "&amp;X30)</f>
        <v>repair_cost_multiplier = 0.05</v>
      </c>
      <c r="CK30" s="3" t="str">
        <f t="shared" ref="CK30:CK34" si="88">IF(Y30="","",Y$29&amp;" = "&amp;Y30)</f>
        <v>sea_attack = 0.00</v>
      </c>
      <c r="CL30" s="3" t="str">
        <f t="shared" ref="CL30:CL34" si="89">IF(Z30="","",Z$29&amp;" = "&amp;Z30)</f>
        <v>soft_attack = 1.00</v>
      </c>
      <c r="CM30" s="3" t="str">
        <f t="shared" ref="CM30:CM34" si="90">IF(AA30="","",AA$29&amp;" = "&amp;AA30)</f>
        <v>sprite = Bomber</v>
      </c>
      <c r="CN30" s="3" t="str">
        <f t="shared" ref="CN30:CN34" si="91">IF(AB30="","",AB$29&amp;" = "&amp;AB30)</f>
        <v>strategic_attack = 2</v>
      </c>
      <c r="CO30" s="3" t="str">
        <f t="shared" ref="CO30:CO34" si="92">IF(AC30="","",AC$29&amp;" = "&amp;AC30)</f>
        <v>sub_attack = 0.00</v>
      </c>
      <c r="CP30" s="3" t="str">
        <f t="shared" ref="CP30:CP34" si="93">IF(AD30="","",AD$29&amp;" = "&amp;AD30)</f>
        <v>supply_consumption = 3.00</v>
      </c>
      <c r="CQ30" s="3" t="str">
        <f t="shared" ref="CQ30:CQ34" si="94">IF(AE30="","",AE$29&amp;" = "&amp;AE30)</f>
        <v>surface_defence = 8.00</v>
      </c>
      <c r="CR30" s="3" t="str">
        <f t="shared" ref="CR30:CR34" si="95">IF(AF30="","",AF$29&amp;" = "&amp;AF30)</f>
        <v>surface_detection = 2.00</v>
      </c>
      <c r="CS30" s="3" t="str">
        <f t="shared" ref="CS30:CS34" si="96">IF(AG30="","",AG$29&amp;" = "&amp;AG30)</f>
        <v>transport_capability = 3</v>
      </c>
      <c r="CT30" s="3" t="str">
        <f t="shared" ref="CT30:CT34" si="97">IF(AH30="","",AH$29&amp;" = "&amp;AH30)</f>
        <v>type = air</v>
      </c>
      <c r="CU30" s="3" t="s">
        <v>0</v>
      </c>
      <c r="DZ30" s="3" t="str">
        <f>concat_code(BN30:CU30)</f>
        <v xml:space="preserve">airship = {
active = no
air_attack = 0.5
air_defence = 3
air_detection = 1
build_cost_ic = 14
build_cost_manpower = 2.00
build_time = 300
completion_size = 2
default_morale = 0.30
default_organisation = 30
fuel_consumption = 4.60
hard_attack = 0.00
is_bomber = yes
max_strength = 100
maximum_speed = 100
officers = 0
on_completion = airship_practical
priority = 4
radio_strength = 1
range = 800.00
repair_cost_multiplier = 0.05
sea_attack = 0.00
soft_attack = 1.00
sprite = Bomber
strategic_attack = 2
sub_attack = 0.00
supply_consumption = 3.00
surface_defence = 8.00
surface_detection = 2.00
transport_capability = 3
type = air
}
</v>
      </c>
    </row>
    <row r="31" spans="1:130" s="3" customFormat="1" x14ac:dyDescent="0.25">
      <c r="A31" s="2" t="str">
        <f t="shared" ca="1" si="66"/>
        <v>C:\Program Files (x86)\Paradox Interactive\Hearts of Iron III\tfh\mod\ww1tfh\units\cag.txt</v>
      </c>
      <c r="B31" s="8" t="s">
        <v>258</v>
      </c>
      <c r="C31" s="5" t="s">
        <v>90</v>
      </c>
      <c r="D31" s="6">
        <v>0.5</v>
      </c>
      <c r="E31" s="6">
        <v>1.5</v>
      </c>
      <c r="F31" s="5">
        <v>1</v>
      </c>
      <c r="G31" s="5">
        <v>9</v>
      </c>
      <c r="H31" s="5" t="s">
        <v>269</v>
      </c>
      <c r="I31" s="5">
        <v>140</v>
      </c>
      <c r="J31" s="9" t="s">
        <v>270</v>
      </c>
      <c r="K31" s="5" t="s">
        <v>241</v>
      </c>
      <c r="L31" s="5" t="s">
        <v>263</v>
      </c>
      <c r="M31" s="5" t="s">
        <v>271</v>
      </c>
      <c r="N31" s="6">
        <v>0</v>
      </c>
      <c r="O31" s="5" t="s">
        <v>62</v>
      </c>
      <c r="P31" s="5" t="s">
        <v>159</v>
      </c>
      <c r="Q31" s="5" t="s">
        <v>137</v>
      </c>
      <c r="R31" s="6">
        <v>100</v>
      </c>
      <c r="S31" s="5" t="s">
        <v>133</v>
      </c>
      <c r="T31" s="5" t="s">
        <v>272</v>
      </c>
      <c r="U31" s="5" t="s">
        <v>146</v>
      </c>
      <c r="V31" s="5" t="s">
        <v>102</v>
      </c>
      <c r="W31" s="9">
        <v>125</v>
      </c>
      <c r="X31" s="5" t="s">
        <v>113</v>
      </c>
      <c r="Y31" s="6">
        <v>2</v>
      </c>
      <c r="Z31" s="5">
        <v>0</v>
      </c>
      <c r="AA31" s="5" t="s">
        <v>273</v>
      </c>
      <c r="AB31" s="6" t="s">
        <v>106</v>
      </c>
      <c r="AC31" s="6">
        <v>3</v>
      </c>
      <c r="AD31" s="5" t="s">
        <v>269</v>
      </c>
      <c r="AE31" s="5" t="s">
        <v>147</v>
      </c>
      <c r="AF31" s="5" t="s">
        <v>135</v>
      </c>
      <c r="AG31" s="5" t="s">
        <v>106</v>
      </c>
      <c r="AH31" s="5" t="s">
        <v>268</v>
      </c>
      <c r="BN31" s="3" t="str">
        <f>B31&amp;" = {"</f>
        <v>cag = {</v>
      </c>
      <c r="BO31" s="3" t="str">
        <f t="shared" ref="BO31:BO34" si="98">IF(C31="","",C$29&amp;" = "&amp;C31)</f>
        <v>active = no</v>
      </c>
      <c r="BP31" s="3" t="str">
        <f t="shared" si="67"/>
        <v>air_attack = 0.5</v>
      </c>
      <c r="BQ31" s="3" t="str">
        <f t="shared" si="68"/>
        <v>air_defence = 1.5</v>
      </c>
      <c r="BR31" s="3" t="str">
        <f t="shared" si="69"/>
        <v>air_detection = 1</v>
      </c>
      <c r="BS31" s="3" t="str">
        <f t="shared" si="70"/>
        <v>build_cost_ic = 9</v>
      </c>
      <c r="BT31" s="3" t="str">
        <f t="shared" si="71"/>
        <v>build_cost_manpower = 1.10</v>
      </c>
      <c r="BU31" s="3" t="str">
        <f t="shared" si="72"/>
        <v>build_time = 140</v>
      </c>
      <c r="BV31" s="3" t="str">
        <f t="shared" si="73"/>
        <v>completion_size = 1.8</v>
      </c>
      <c r="BW31" s="3" t="str">
        <f t="shared" si="74"/>
        <v>default_morale = 0.30</v>
      </c>
      <c r="BX31" s="3" t="str">
        <f t="shared" si="75"/>
        <v>default_organisation = 30</v>
      </c>
      <c r="BY31" s="3" t="str">
        <f t="shared" si="76"/>
        <v>fuel_consumption = 1.70</v>
      </c>
      <c r="BZ31" s="3" t="str">
        <f t="shared" si="77"/>
        <v>hard_attack = 0</v>
      </c>
      <c r="CA31" s="3" t="str">
        <f t="shared" si="78"/>
        <v/>
      </c>
      <c r="CB31" s="3" t="str">
        <f t="shared" si="79"/>
        <v>is_cag = yes</v>
      </c>
      <c r="CC31" s="3" t="str">
        <f t="shared" si="80"/>
        <v>max_strength = 100</v>
      </c>
      <c r="CD31" s="3" t="str">
        <f t="shared" si="81"/>
        <v>maximum_speed = 100</v>
      </c>
      <c r="CE31" s="3" t="str">
        <f t="shared" si="82"/>
        <v>officers = 0</v>
      </c>
      <c r="CF31" s="3" t="str">
        <f t="shared" si="83"/>
        <v>on_completion = single_engine_aircraft_practical</v>
      </c>
      <c r="CG31" s="3" t="str">
        <f t="shared" si="84"/>
        <v>priority = 5</v>
      </c>
      <c r="CH31" s="3" t="str">
        <f t="shared" si="85"/>
        <v>radio_strength = 1</v>
      </c>
      <c r="CI31" s="3" t="str">
        <f t="shared" si="86"/>
        <v>range = 125</v>
      </c>
      <c r="CJ31" s="3" t="str">
        <f t="shared" si="87"/>
        <v>repair_cost_multiplier = 0.05</v>
      </c>
      <c r="CK31" s="3" t="str">
        <f t="shared" si="88"/>
        <v>sea_attack = 2</v>
      </c>
      <c r="CL31" s="3" t="str">
        <f t="shared" si="89"/>
        <v>soft_attack = 0</v>
      </c>
      <c r="CM31" s="3" t="str">
        <f t="shared" si="90"/>
        <v>sprite = Fighter</v>
      </c>
      <c r="CN31" s="3" t="str">
        <f t="shared" si="91"/>
        <v>strategic_attack = 0.00</v>
      </c>
      <c r="CO31" s="3" t="str">
        <f t="shared" si="92"/>
        <v>sub_attack = 3</v>
      </c>
      <c r="CP31" s="3" t="str">
        <f t="shared" si="93"/>
        <v>supply_consumption = 1.10</v>
      </c>
      <c r="CQ31" s="3" t="str">
        <f t="shared" si="94"/>
        <v>surface_defence = 3.00</v>
      </c>
      <c r="CR31" s="3" t="str">
        <f t="shared" si="95"/>
        <v>surface_detection = 2.00</v>
      </c>
      <c r="CS31" s="3" t="str">
        <f t="shared" si="96"/>
        <v>transport_capability = 0.00</v>
      </c>
      <c r="CT31" s="3" t="str">
        <f t="shared" si="97"/>
        <v>type = air</v>
      </c>
      <c r="CU31" s="3" t="s">
        <v>0</v>
      </c>
      <c r="DZ31" s="3" t="str">
        <f>concat_code(BN31:CU31)</f>
        <v xml:space="preserve">cag = {
active = no
air_attack = 0.5
air_defence = 1.5
air_detection = 1
build_cost_ic = 9
build_cost_manpower = 1.10
build_time = 140
completion_size = 1.8
default_morale = 0.30
default_organisation = 30
fuel_consumption = 1.70
hard_attack = 0
is_cag = yes
max_strength = 100
maximum_speed = 100
officers = 0
on_completion = single_engine_aircraft_practical
priority = 5
radio_strength = 1
range = 125
repair_cost_multiplier = 0.05
sea_attack = 2
soft_attack = 0
sprite = Fighter
strategic_attack = 0.00
sub_attack = 3
supply_consumption = 1.10
surface_defence = 3.00
surface_detection = 2.00
transport_capability = 0.00
type = air
}
</v>
      </c>
    </row>
    <row r="32" spans="1:130" s="3" customFormat="1" x14ac:dyDescent="0.25">
      <c r="A32" s="2" t="str">
        <f t="shared" ca="1" si="66"/>
        <v>C:\Program Files (x86)\Paradox Interactive\Hearts of Iron III\tfh\mod\ww1tfh\units\scout.txt</v>
      </c>
      <c r="B32" s="8" t="s">
        <v>332</v>
      </c>
      <c r="C32" s="5" t="s">
        <v>90</v>
      </c>
      <c r="D32" s="6">
        <v>0</v>
      </c>
      <c r="E32" s="6">
        <v>1</v>
      </c>
      <c r="F32" s="5">
        <v>0</v>
      </c>
      <c r="G32" s="5">
        <v>7</v>
      </c>
      <c r="H32" s="5">
        <v>1</v>
      </c>
      <c r="I32" s="5">
        <v>90</v>
      </c>
      <c r="J32" s="9">
        <v>0.6</v>
      </c>
      <c r="K32" s="5" t="s">
        <v>241</v>
      </c>
      <c r="L32" s="5" t="s">
        <v>263</v>
      </c>
      <c r="M32" s="5">
        <v>1.7</v>
      </c>
      <c r="N32" s="6">
        <v>0</v>
      </c>
      <c r="O32" s="5" t="s">
        <v>159</v>
      </c>
      <c r="P32" s="5" t="s">
        <v>62</v>
      </c>
      <c r="Q32" s="5" t="s">
        <v>137</v>
      </c>
      <c r="R32" s="6">
        <v>110</v>
      </c>
      <c r="S32" s="5" t="s">
        <v>133</v>
      </c>
      <c r="T32" s="5" t="s">
        <v>272</v>
      </c>
      <c r="U32" s="5">
        <v>2</v>
      </c>
      <c r="V32" s="5" t="s">
        <v>102</v>
      </c>
      <c r="W32" s="10">
        <v>110</v>
      </c>
      <c r="X32" s="5" t="s">
        <v>113</v>
      </c>
      <c r="Y32" s="6">
        <v>0</v>
      </c>
      <c r="Z32" s="5">
        <v>1</v>
      </c>
      <c r="AA32" s="5" t="s">
        <v>277</v>
      </c>
      <c r="AB32" s="6">
        <v>0</v>
      </c>
      <c r="AC32" s="6">
        <v>0</v>
      </c>
      <c r="AD32" s="5" t="s">
        <v>135</v>
      </c>
      <c r="AE32" s="5">
        <v>5</v>
      </c>
      <c r="AF32" s="5">
        <v>1</v>
      </c>
      <c r="AG32" s="5" t="s">
        <v>106</v>
      </c>
      <c r="AH32" s="5" t="s">
        <v>268</v>
      </c>
      <c r="BN32" s="3" t="str">
        <f>B32&amp;" = {"</f>
        <v>scout = {</v>
      </c>
      <c r="BO32" s="3" t="str">
        <f t="shared" ref="BO32" si="99">IF(C32="","",C$29&amp;" = "&amp;C32)</f>
        <v>active = no</v>
      </c>
      <c r="BP32" s="3" t="str">
        <f t="shared" ref="BP32" si="100">IF(D32="","",D$29&amp;" = "&amp;D32)</f>
        <v>air_attack = 0</v>
      </c>
      <c r="BQ32" s="3" t="str">
        <f t="shared" ref="BQ32" si="101">IF(E32="","",E$29&amp;" = "&amp;E32)</f>
        <v>air_defence = 1</v>
      </c>
      <c r="BR32" s="3" t="str">
        <f t="shared" ref="BR32" si="102">IF(F32="","",F$29&amp;" = "&amp;F32)</f>
        <v>air_detection = 0</v>
      </c>
      <c r="BS32" s="3" t="str">
        <f t="shared" ref="BS32" si="103">IF(G32="","",G$29&amp;" = "&amp;G32)</f>
        <v>build_cost_ic = 7</v>
      </c>
      <c r="BT32" s="3" t="str">
        <f t="shared" ref="BT32" si="104">IF(H32="","",H$29&amp;" = "&amp;H32)</f>
        <v>build_cost_manpower = 1</v>
      </c>
      <c r="BU32" s="3" t="str">
        <f t="shared" ref="BU32" si="105">IF(I32="","",I$29&amp;" = "&amp;I32)</f>
        <v>build_time = 90</v>
      </c>
      <c r="BV32" s="3" t="str">
        <f t="shared" ref="BV32" si="106">IF(J32="","",J$29&amp;" = "&amp;J32)</f>
        <v>completion_size = 0.6</v>
      </c>
      <c r="BW32" s="3" t="str">
        <f t="shared" ref="BW32" si="107">IF(K32="","",K$29&amp;" = "&amp;K32)</f>
        <v>default_morale = 0.30</v>
      </c>
      <c r="BX32" s="3" t="str">
        <f t="shared" ref="BX32" si="108">IF(L32="","",L$29&amp;" = "&amp;L32)</f>
        <v>default_organisation = 30</v>
      </c>
      <c r="BY32" s="3" t="str">
        <f t="shared" ref="BY32" si="109">IF(M32="","",M$29&amp;" = "&amp;M32)</f>
        <v>fuel_consumption = 1.7</v>
      </c>
      <c r="BZ32" s="3" t="str">
        <f t="shared" ref="BZ32" si="110">IF(N32="","",N$29&amp;" = "&amp;N32)</f>
        <v>hard_attack = 0</v>
      </c>
      <c r="CA32" s="3" t="str">
        <f t="shared" ref="CA32" si="111">IF(O32="","",O$29&amp;" = "&amp;O32)</f>
        <v>is_bomber = yes</v>
      </c>
      <c r="CB32" s="3" t="str">
        <f t="shared" ref="CB32" si="112">IF(P32="","",P$29&amp;" = "&amp;P32)</f>
        <v/>
      </c>
      <c r="CC32" s="3" t="str">
        <f t="shared" ref="CC32" si="113">IF(Q32="","",Q$29&amp;" = "&amp;Q32)</f>
        <v>max_strength = 100</v>
      </c>
      <c r="CD32" s="3" t="str">
        <f t="shared" ref="CD32" si="114">IF(R32="","",R$29&amp;" = "&amp;R32)</f>
        <v>maximum_speed = 110</v>
      </c>
      <c r="CE32" s="3" t="str">
        <f t="shared" ref="CE32" si="115">IF(S32="","",S$29&amp;" = "&amp;S32)</f>
        <v>officers = 0</v>
      </c>
      <c r="CF32" s="3" t="str">
        <f t="shared" ref="CF32" si="116">IF(T32="","",T$29&amp;" = "&amp;T32)</f>
        <v>on_completion = single_engine_aircraft_practical</v>
      </c>
      <c r="CG32" s="3" t="str">
        <f t="shared" ref="CG32" si="117">IF(U32="","",U$29&amp;" = "&amp;U32)</f>
        <v>priority = 2</v>
      </c>
      <c r="CH32" s="3" t="str">
        <f t="shared" ref="CH32" si="118">IF(V32="","",V$29&amp;" = "&amp;V32)</f>
        <v>radio_strength = 1</v>
      </c>
      <c r="CI32" s="3" t="str">
        <f t="shared" ref="CI32" si="119">IF(W32="","",W$29&amp;" = "&amp;W32)</f>
        <v>range = 110</v>
      </c>
      <c r="CJ32" s="3" t="str">
        <f t="shared" ref="CJ32" si="120">IF(X32="","",X$29&amp;" = "&amp;X32)</f>
        <v>repair_cost_multiplier = 0.05</v>
      </c>
      <c r="CK32" s="3" t="str">
        <f t="shared" ref="CK32" si="121">IF(Y32="","",Y$29&amp;" = "&amp;Y32)</f>
        <v>sea_attack = 0</v>
      </c>
      <c r="CL32" s="3" t="str">
        <f t="shared" ref="CL32" si="122">IF(Z32="","",Z$29&amp;" = "&amp;Z32)</f>
        <v>soft_attack = 1</v>
      </c>
      <c r="CM32" s="3" t="str">
        <f t="shared" ref="CM32" si="123">IF(AA32="","",AA$29&amp;" = "&amp;AA32)</f>
        <v>sprite = Tactical</v>
      </c>
      <c r="CN32" s="3" t="str">
        <f t="shared" ref="CN32" si="124">IF(AB32="","",AB$29&amp;" = "&amp;AB32)</f>
        <v>strategic_attack = 0</v>
      </c>
      <c r="CO32" s="3" t="str">
        <f t="shared" ref="CO32" si="125">IF(AC32="","",AC$29&amp;" = "&amp;AC32)</f>
        <v>sub_attack = 0</v>
      </c>
      <c r="CP32" s="3" t="str">
        <f t="shared" ref="CP32" si="126">IF(AD32="","",AD$29&amp;" = "&amp;AD32)</f>
        <v>supply_consumption = 2.00</v>
      </c>
      <c r="CQ32" s="3" t="str">
        <f t="shared" ref="CQ32" si="127">IF(AE32="","",AE$29&amp;" = "&amp;AE32)</f>
        <v>surface_defence = 5</v>
      </c>
      <c r="CR32" s="3" t="str">
        <f t="shared" ref="CR32" si="128">IF(AF32="","",AF$29&amp;" = "&amp;AF32)</f>
        <v>surface_detection = 1</v>
      </c>
      <c r="CS32" s="3" t="str">
        <f t="shared" ref="CS32" si="129">IF(AG32="","",AG$29&amp;" = "&amp;AG32)</f>
        <v>transport_capability = 0.00</v>
      </c>
      <c r="CT32" s="3" t="str">
        <f t="shared" ref="CT32" si="130">IF(AH32="","",AH$29&amp;" = "&amp;AH32)</f>
        <v>type = air</v>
      </c>
      <c r="CU32" s="3" t="s">
        <v>0</v>
      </c>
      <c r="DZ32" s="3" t="str">
        <f>concat_code(BN32:CU32)</f>
        <v xml:space="preserve">scout = {
active = no
air_attack = 0
air_defence = 1
air_detection = 0
build_cost_ic = 7
build_cost_manpower = 1
build_time = 90
completion_size = 0.6
default_morale = 0.30
default_organisation = 30
fuel_consumption = 1.7
hard_attack = 0
is_bomber = yes
max_strength = 100
maximum_speed = 110
officers = 0
on_completion = single_engine_aircraft_practical
priority = 2
radio_strength = 1
range = 110
repair_cost_multiplier = 0.05
sea_attack = 0
soft_attack = 1
sprite = Tactical
strategic_attack = 0
sub_attack = 0
supply_consumption = 2.00
surface_defence = 5
surface_detection = 1
transport_capability = 0.00
type = air
}
</v>
      </c>
    </row>
    <row r="33" spans="1:130" s="3" customFormat="1" x14ac:dyDescent="0.25">
      <c r="A33" s="2" t="str">
        <f t="shared" ca="1" si="66"/>
        <v>C:\Program Files (x86)\Paradox Interactive\Hearts of Iron III\tfh\mod\ww1tfh\units\interceptor.txt</v>
      </c>
      <c r="B33" s="8" t="s">
        <v>259</v>
      </c>
      <c r="C33" s="5" t="s">
        <v>90</v>
      </c>
      <c r="D33" s="6">
        <v>1</v>
      </c>
      <c r="E33" s="6">
        <v>2</v>
      </c>
      <c r="F33" s="5">
        <v>2</v>
      </c>
      <c r="G33" s="5">
        <v>12</v>
      </c>
      <c r="H33" s="5" t="s">
        <v>115</v>
      </c>
      <c r="I33" s="5">
        <v>120</v>
      </c>
      <c r="J33" s="9" t="s">
        <v>274</v>
      </c>
      <c r="K33" s="5" t="s">
        <v>241</v>
      </c>
      <c r="L33" s="5" t="s">
        <v>263</v>
      </c>
      <c r="M33" s="5" t="s">
        <v>271</v>
      </c>
      <c r="N33" s="6" t="s">
        <v>106</v>
      </c>
      <c r="O33" s="5" t="s">
        <v>62</v>
      </c>
      <c r="P33" s="5" t="s">
        <v>62</v>
      </c>
      <c r="Q33" s="5" t="s">
        <v>137</v>
      </c>
      <c r="R33" s="6">
        <v>140</v>
      </c>
      <c r="S33" s="5" t="s">
        <v>133</v>
      </c>
      <c r="T33" s="5" t="s">
        <v>272</v>
      </c>
      <c r="U33" s="5" t="s">
        <v>146</v>
      </c>
      <c r="V33" s="5" t="s">
        <v>102</v>
      </c>
      <c r="W33" s="9">
        <v>110</v>
      </c>
      <c r="X33" s="5" t="s">
        <v>113</v>
      </c>
      <c r="Y33" s="5" t="s">
        <v>106</v>
      </c>
      <c r="Z33" s="5">
        <v>0</v>
      </c>
      <c r="AA33" s="5" t="s">
        <v>273</v>
      </c>
      <c r="AB33" s="6" t="s">
        <v>106</v>
      </c>
      <c r="AC33" s="6" t="s">
        <v>106</v>
      </c>
      <c r="AD33" s="5" t="s">
        <v>141</v>
      </c>
      <c r="AE33" s="5" t="s">
        <v>106</v>
      </c>
      <c r="AF33" s="5" t="s">
        <v>115</v>
      </c>
      <c r="AG33" s="5" t="s">
        <v>106</v>
      </c>
      <c r="AH33" s="5" t="s">
        <v>268</v>
      </c>
      <c r="BN33" s="3" t="str">
        <f>B33&amp;" = {"</f>
        <v>interceptor = {</v>
      </c>
      <c r="BO33" s="3" t="str">
        <f t="shared" si="98"/>
        <v>active = no</v>
      </c>
      <c r="BP33" s="3" t="str">
        <f t="shared" si="67"/>
        <v>air_attack = 1</v>
      </c>
      <c r="BQ33" s="3" t="str">
        <f t="shared" si="68"/>
        <v>air_defence = 2</v>
      </c>
      <c r="BR33" s="3" t="str">
        <f t="shared" si="69"/>
        <v>air_detection = 2</v>
      </c>
      <c r="BS33" s="3" t="str">
        <f t="shared" si="70"/>
        <v>build_cost_ic = 12</v>
      </c>
      <c r="BT33" s="3" t="str">
        <f t="shared" si="71"/>
        <v>build_cost_manpower = 1.00</v>
      </c>
      <c r="BU33" s="3" t="str">
        <f t="shared" si="72"/>
        <v>build_time = 120</v>
      </c>
      <c r="BV33" s="3" t="str">
        <f t="shared" si="73"/>
        <v>completion_size = 2.0</v>
      </c>
      <c r="BW33" s="3" t="str">
        <f t="shared" si="74"/>
        <v>default_morale = 0.30</v>
      </c>
      <c r="BX33" s="3" t="str">
        <f t="shared" si="75"/>
        <v>default_organisation = 30</v>
      </c>
      <c r="BY33" s="3" t="str">
        <f t="shared" si="76"/>
        <v>fuel_consumption = 1.70</v>
      </c>
      <c r="BZ33" s="3" t="str">
        <f t="shared" si="77"/>
        <v>hard_attack = 0.00</v>
      </c>
      <c r="CA33" s="3" t="str">
        <f t="shared" si="78"/>
        <v/>
      </c>
      <c r="CB33" s="3" t="str">
        <f t="shared" si="79"/>
        <v/>
      </c>
      <c r="CC33" s="3" t="str">
        <f t="shared" si="80"/>
        <v>max_strength = 100</v>
      </c>
      <c r="CD33" s="3" t="str">
        <f t="shared" si="81"/>
        <v>maximum_speed = 140</v>
      </c>
      <c r="CE33" s="3" t="str">
        <f t="shared" si="82"/>
        <v>officers = 0</v>
      </c>
      <c r="CF33" s="3" t="str">
        <f t="shared" si="83"/>
        <v>on_completion = single_engine_aircraft_practical</v>
      </c>
      <c r="CG33" s="3" t="str">
        <f t="shared" si="84"/>
        <v>priority = 5</v>
      </c>
      <c r="CH33" s="3" t="str">
        <f t="shared" si="85"/>
        <v>radio_strength = 1</v>
      </c>
      <c r="CI33" s="3" t="str">
        <f t="shared" si="86"/>
        <v>range = 110</v>
      </c>
      <c r="CJ33" s="3" t="str">
        <f t="shared" si="87"/>
        <v>repair_cost_multiplier = 0.05</v>
      </c>
      <c r="CK33" s="3" t="str">
        <f t="shared" si="88"/>
        <v>sea_attack = 0.00</v>
      </c>
      <c r="CL33" s="3" t="str">
        <f t="shared" si="89"/>
        <v>soft_attack = 0</v>
      </c>
      <c r="CM33" s="3" t="str">
        <f t="shared" si="90"/>
        <v>sprite = Fighter</v>
      </c>
      <c r="CN33" s="3" t="str">
        <f t="shared" si="91"/>
        <v>strategic_attack = 0.00</v>
      </c>
      <c r="CO33" s="3" t="str">
        <f t="shared" si="92"/>
        <v>sub_attack = 0.00</v>
      </c>
      <c r="CP33" s="3" t="str">
        <f t="shared" si="93"/>
        <v>supply_consumption = 0.70</v>
      </c>
      <c r="CQ33" s="3" t="str">
        <f t="shared" si="94"/>
        <v>surface_defence = 0.00</v>
      </c>
      <c r="CR33" s="3" t="str">
        <f t="shared" si="95"/>
        <v>surface_detection = 1.00</v>
      </c>
      <c r="CS33" s="3" t="str">
        <f t="shared" si="96"/>
        <v>transport_capability = 0.00</v>
      </c>
      <c r="CT33" s="3" t="str">
        <f t="shared" si="97"/>
        <v>type = air</v>
      </c>
      <c r="CU33" s="3" t="s">
        <v>0</v>
      </c>
      <c r="DZ33" s="3" t="str">
        <f>concat_code(BN33:CU33)</f>
        <v xml:space="preserve">interceptor = {
active = no
air_attack = 1
air_defence = 2
air_detection = 2
build_cost_ic = 12
build_cost_manpower = 1.00
build_time = 120
completion_size = 2.0
default_morale = 0.30
default_organisation = 30
fuel_consumption = 1.70
hard_attack = 0.00
max_strength = 100
maximum_speed = 140
officers = 0
on_completion = single_engine_aircraft_practical
priority = 5
radio_strength = 1
range = 110
repair_cost_multiplier = 0.05
sea_attack = 0.00
soft_attack = 0
sprite = Fighter
strategic_attack = 0.00
sub_attack = 0.00
supply_consumption = 0.70
surface_defence = 0.00
surface_detection = 1.00
transport_capability = 0.00
type = air
}
</v>
      </c>
    </row>
    <row r="34" spans="1:130" s="3" customFormat="1" x14ac:dyDescent="0.25">
      <c r="A34" s="2" t="str">
        <f t="shared" ca="1" si="66"/>
        <v>C:\Program Files (x86)\Paradox Interactive\Hearts of Iron III\tfh\mod\ww1tfh\units\tactical_bomber.txt</v>
      </c>
      <c r="B34" s="8" t="s">
        <v>260</v>
      </c>
      <c r="C34" s="5" t="s">
        <v>90</v>
      </c>
      <c r="D34" s="6">
        <v>0</v>
      </c>
      <c r="E34" s="6">
        <v>1.3</v>
      </c>
      <c r="F34" s="5">
        <v>0</v>
      </c>
      <c r="G34" s="5">
        <v>14</v>
      </c>
      <c r="H34" s="5" t="s">
        <v>199</v>
      </c>
      <c r="I34" s="5">
        <v>180</v>
      </c>
      <c r="J34" s="9">
        <v>2.5</v>
      </c>
      <c r="K34" s="5" t="s">
        <v>241</v>
      </c>
      <c r="L34" s="5" t="s">
        <v>263</v>
      </c>
      <c r="M34" s="5" t="s">
        <v>275</v>
      </c>
      <c r="N34" s="6">
        <v>1</v>
      </c>
      <c r="O34" s="5" t="s">
        <v>159</v>
      </c>
      <c r="P34" s="5" t="s">
        <v>62</v>
      </c>
      <c r="Q34" s="5" t="s">
        <v>137</v>
      </c>
      <c r="R34" s="6">
        <v>120</v>
      </c>
      <c r="S34" s="5" t="s">
        <v>133</v>
      </c>
      <c r="T34" s="5" t="s">
        <v>276</v>
      </c>
      <c r="U34" s="5" t="s">
        <v>139</v>
      </c>
      <c r="V34" s="5" t="s">
        <v>102</v>
      </c>
      <c r="W34" s="10">
        <v>220</v>
      </c>
      <c r="X34" s="5" t="s">
        <v>113</v>
      </c>
      <c r="Y34" s="6">
        <v>0</v>
      </c>
      <c r="Z34" s="5">
        <v>3</v>
      </c>
      <c r="AA34" s="5" t="s">
        <v>277</v>
      </c>
      <c r="AB34" s="6">
        <v>0</v>
      </c>
      <c r="AC34" s="6">
        <v>1</v>
      </c>
      <c r="AD34" s="5" t="s">
        <v>135</v>
      </c>
      <c r="AE34" s="5" t="s">
        <v>158</v>
      </c>
      <c r="AF34" s="5" t="s">
        <v>135</v>
      </c>
      <c r="AG34" s="5" t="s">
        <v>106</v>
      </c>
      <c r="AH34" s="5" t="s">
        <v>268</v>
      </c>
      <c r="BN34" s="3" t="str">
        <f>B34&amp;" = {"</f>
        <v>tactical_bomber = {</v>
      </c>
      <c r="BO34" s="3" t="str">
        <f t="shared" si="98"/>
        <v>active = no</v>
      </c>
      <c r="BP34" s="3" t="str">
        <f t="shared" si="67"/>
        <v>air_attack = 0</v>
      </c>
      <c r="BQ34" s="3" t="str">
        <f t="shared" si="68"/>
        <v>air_defence = 1.3</v>
      </c>
      <c r="BR34" s="3" t="str">
        <f t="shared" si="69"/>
        <v>air_detection = 0</v>
      </c>
      <c r="BS34" s="3" t="str">
        <f t="shared" si="70"/>
        <v>build_cost_ic = 14</v>
      </c>
      <c r="BT34" s="3" t="str">
        <f t="shared" si="71"/>
        <v>build_cost_manpower = 1.60</v>
      </c>
      <c r="BU34" s="3" t="str">
        <f t="shared" si="72"/>
        <v>build_time = 180</v>
      </c>
      <c r="BV34" s="3" t="str">
        <f t="shared" si="73"/>
        <v>completion_size = 2.5</v>
      </c>
      <c r="BW34" s="3" t="str">
        <f t="shared" si="74"/>
        <v>default_morale = 0.30</v>
      </c>
      <c r="BX34" s="3" t="str">
        <f t="shared" si="75"/>
        <v>default_organisation = 30</v>
      </c>
      <c r="BY34" s="3" t="str">
        <f t="shared" si="76"/>
        <v>fuel_consumption = 3.45</v>
      </c>
      <c r="BZ34" s="3" t="str">
        <f t="shared" si="77"/>
        <v>hard_attack = 1</v>
      </c>
      <c r="CA34" s="3" t="str">
        <f t="shared" si="78"/>
        <v>is_bomber = yes</v>
      </c>
      <c r="CB34" s="3" t="str">
        <f t="shared" si="79"/>
        <v/>
      </c>
      <c r="CC34" s="3" t="str">
        <f t="shared" si="80"/>
        <v>max_strength = 100</v>
      </c>
      <c r="CD34" s="3" t="str">
        <f t="shared" si="81"/>
        <v>maximum_speed = 120</v>
      </c>
      <c r="CE34" s="3" t="str">
        <f t="shared" si="82"/>
        <v>officers = 0</v>
      </c>
      <c r="CF34" s="3" t="str">
        <f t="shared" si="83"/>
        <v>on_completion = twin_engine_aircraft_practical</v>
      </c>
      <c r="CG34" s="3" t="str">
        <f t="shared" si="84"/>
        <v>priority = 3</v>
      </c>
      <c r="CH34" s="3" t="str">
        <f t="shared" si="85"/>
        <v>radio_strength = 1</v>
      </c>
      <c r="CI34" s="3" t="str">
        <f t="shared" si="86"/>
        <v>range = 220</v>
      </c>
      <c r="CJ34" s="3" t="str">
        <f t="shared" si="87"/>
        <v>repair_cost_multiplier = 0.05</v>
      </c>
      <c r="CK34" s="3" t="str">
        <f t="shared" si="88"/>
        <v>sea_attack = 0</v>
      </c>
      <c r="CL34" s="3" t="str">
        <f t="shared" si="89"/>
        <v>soft_attack = 3</v>
      </c>
      <c r="CM34" s="3" t="str">
        <f t="shared" si="90"/>
        <v>sprite = Tactical</v>
      </c>
      <c r="CN34" s="3" t="str">
        <f t="shared" si="91"/>
        <v>strategic_attack = 0</v>
      </c>
      <c r="CO34" s="3" t="str">
        <f t="shared" si="92"/>
        <v>sub_attack = 1</v>
      </c>
      <c r="CP34" s="3" t="str">
        <f t="shared" si="93"/>
        <v>supply_consumption = 2.00</v>
      </c>
      <c r="CQ34" s="3" t="str">
        <f t="shared" si="94"/>
        <v>surface_defence = 3.50</v>
      </c>
      <c r="CR34" s="3" t="str">
        <f t="shared" si="95"/>
        <v>surface_detection = 2.00</v>
      </c>
      <c r="CS34" s="3" t="str">
        <f t="shared" si="96"/>
        <v>transport_capability = 0.00</v>
      </c>
      <c r="CT34" s="3" t="str">
        <f t="shared" si="97"/>
        <v>type = air</v>
      </c>
      <c r="CU34" s="3" t="s">
        <v>0</v>
      </c>
      <c r="DZ34" s="3" t="str">
        <f>concat_code(BN34:CU34)</f>
        <v xml:space="preserve">tactical_bomber = {
active = no
air_attack = 0
air_defence = 1.3
air_detection = 0
build_cost_ic = 14
build_cost_manpower = 1.60
build_time = 180
completion_size = 2.5
default_morale = 0.30
default_organisation = 30
fuel_consumption = 3.45
hard_attack = 1
is_bomber = yes
max_strength = 100
maximum_speed = 120
officers = 0
on_completion = twin_engine_aircraft_practical
priority = 3
radio_strength = 1
range = 220
repair_cost_multiplier = 0.05
sea_attack = 0
soft_attack = 3
sprite = Tactical
strategic_attack = 0
sub_attack = 1
supply_consumption = 2.00
surface_defence = 3.50
surface_detection = 2.00
transport_capability = 0.00
type = air
}
</v>
      </c>
    </row>
    <row r="36" spans="1:130" s="3" customFormat="1" x14ac:dyDescent="0.25">
      <c r="C36" s="1" t="s">
        <v>63</v>
      </c>
      <c r="D36" s="1" t="s">
        <v>52</v>
      </c>
      <c r="E36" s="1" t="s">
        <v>48</v>
      </c>
      <c r="F36" s="1" t="s">
        <v>36</v>
      </c>
      <c r="G36" s="1" t="s">
        <v>37</v>
      </c>
      <c r="H36" s="1" t="s">
        <v>38</v>
      </c>
      <c r="I36" s="1" t="s">
        <v>55</v>
      </c>
      <c r="J36" s="1" t="s">
        <v>34</v>
      </c>
      <c r="K36" s="1" t="s">
        <v>33</v>
      </c>
      <c r="L36" s="1" t="s">
        <v>43</v>
      </c>
      <c r="M36" s="1" t="s">
        <v>32</v>
      </c>
      <c r="N36" s="1" t="s">
        <v>40</v>
      </c>
      <c r="O36" s="1" t="s">
        <v>35</v>
      </c>
      <c r="P36" s="1" t="s">
        <v>56</v>
      </c>
      <c r="Q36" s="1" t="s">
        <v>57</v>
      </c>
      <c r="R36" s="1" t="s">
        <v>44</v>
      </c>
      <c r="S36" s="1" t="s">
        <v>39</v>
      </c>
      <c r="T36" s="1" t="s">
        <v>28</v>
      </c>
      <c r="U36" s="1" t="s">
        <v>42</v>
      </c>
      <c r="V36" s="1" t="s">
        <v>27</v>
      </c>
      <c r="W36" s="1" t="s">
        <v>298</v>
      </c>
      <c r="X36" s="1" t="s">
        <v>300</v>
      </c>
      <c r="Y36" s="1" t="s">
        <v>301</v>
      </c>
      <c r="Z36" s="1" t="s">
        <v>302</v>
      </c>
      <c r="AA36" s="1" t="s">
        <v>288</v>
      </c>
      <c r="AB36" s="1" t="s">
        <v>287</v>
      </c>
      <c r="AC36" s="1" t="s">
        <v>281</v>
      </c>
      <c r="AD36" s="1" t="s">
        <v>303</v>
      </c>
      <c r="AE36" s="1" t="s">
        <v>286</v>
      </c>
      <c r="AF36" s="1" t="s">
        <v>278</v>
      </c>
      <c r="AG36" s="1" t="s">
        <v>304</v>
      </c>
      <c r="AH36" s="1" t="s">
        <v>305</v>
      </c>
      <c r="AI36" s="1" t="s">
        <v>306</v>
      </c>
      <c r="AJ36" s="1" t="s">
        <v>307</v>
      </c>
      <c r="AK36" s="1" t="s">
        <v>282</v>
      </c>
      <c r="AL36" s="1" t="s">
        <v>284</v>
      </c>
      <c r="AM36" s="1" t="s">
        <v>308</v>
      </c>
      <c r="AN36" s="1" t="s">
        <v>309</v>
      </c>
      <c r="AO36" s="1" t="s">
        <v>310</v>
      </c>
      <c r="AP36" s="1" t="s">
        <v>311</v>
      </c>
      <c r="AQ36" s="1" t="s">
        <v>312</v>
      </c>
      <c r="AR36" s="1"/>
    </row>
    <row r="37" spans="1:130" s="3" customFormat="1" x14ac:dyDescent="0.25">
      <c r="A37" s="2" t="str">
        <f t="shared" ref="A37:A50" ca="1" si="131">$A$1&amp;"units\"&amp;B37&amp;".txt"</f>
        <v>C:\Program Files (x86)\Paradox Interactive\Hearts of Iron III\tfh\mod\ww1tfh\units\battlecruiser.txt</v>
      </c>
      <c r="B37" s="3" t="s">
        <v>289</v>
      </c>
      <c r="C37" s="5" t="s">
        <v>90</v>
      </c>
      <c r="D37" s="6">
        <v>0</v>
      </c>
      <c r="E37" s="6">
        <v>2</v>
      </c>
      <c r="F37" s="5">
        <v>5.5</v>
      </c>
      <c r="G37" s="5">
        <v>0.81</v>
      </c>
      <c r="H37" s="5">
        <v>600</v>
      </c>
      <c r="I37" s="5">
        <v>2.8</v>
      </c>
      <c r="J37" s="5">
        <v>0.3</v>
      </c>
      <c r="K37" s="5">
        <v>30</v>
      </c>
      <c r="L37" s="6">
        <v>1.6</v>
      </c>
      <c r="M37" s="5">
        <v>100</v>
      </c>
      <c r="N37" s="6">
        <v>23.35</v>
      </c>
      <c r="O37" s="5">
        <v>81</v>
      </c>
      <c r="P37" s="5" t="s">
        <v>315</v>
      </c>
      <c r="Q37" s="5">
        <v>10</v>
      </c>
      <c r="R37" s="5">
        <v>1</v>
      </c>
      <c r="S37" s="5">
        <v>0.05</v>
      </c>
      <c r="T37" s="5" t="s">
        <v>316</v>
      </c>
      <c r="U37" s="5">
        <v>0.8</v>
      </c>
      <c r="V37" s="5" t="s">
        <v>314</v>
      </c>
      <c r="W37" s="5" t="s">
        <v>62</v>
      </c>
      <c r="X37" s="6">
        <v>1</v>
      </c>
      <c r="Y37" s="5" t="s">
        <v>62</v>
      </c>
      <c r="Z37" s="5" t="s">
        <v>62</v>
      </c>
      <c r="AA37" s="5" t="s">
        <v>62</v>
      </c>
      <c r="AB37" s="5">
        <v>0</v>
      </c>
      <c r="AC37" s="5">
        <v>3425</v>
      </c>
      <c r="AD37" s="5">
        <v>0.22</v>
      </c>
      <c r="AE37" s="5">
        <v>1</v>
      </c>
      <c r="AF37" s="5">
        <v>1</v>
      </c>
      <c r="AG37" s="6">
        <v>0</v>
      </c>
      <c r="AH37" s="5">
        <v>80</v>
      </c>
      <c r="AI37" s="5">
        <v>3</v>
      </c>
      <c r="AJ37" s="13">
        <v>12</v>
      </c>
      <c r="AK37" s="11">
        <v>11.1</v>
      </c>
      <c r="AL37" s="5">
        <v>0</v>
      </c>
      <c r="AM37" s="5">
        <v>11</v>
      </c>
      <c r="AN37" s="5" t="s">
        <v>159</v>
      </c>
      <c r="AO37" s="5" t="s">
        <v>159</v>
      </c>
      <c r="AP37" s="5" t="s">
        <v>62</v>
      </c>
      <c r="AQ37" s="5" t="s">
        <v>62</v>
      </c>
      <c r="BN37" s="3" t="str">
        <f t="shared" ref="BN37:BN45" si="132">B37&amp;" = {"</f>
        <v>battlecruiser = {</v>
      </c>
      <c r="BO37" s="3" t="str">
        <f t="shared" ref="BO37:BO47" si="133">IF(C37="","",C$36&amp;" = "&amp;C37)</f>
        <v>active = no</v>
      </c>
      <c r="BP37" s="3" t="str">
        <f t="shared" ref="BP37:BP47" si="134">IF(D37="","",D$36&amp;" = "&amp;D37)</f>
        <v>air_attack = 0</v>
      </c>
      <c r="BQ37" s="3" t="str">
        <f t="shared" ref="BQ37:BQ47" si="135">IF(E37="","",E$36&amp;" = "&amp;E37)</f>
        <v>air_defence = 2</v>
      </c>
      <c r="BR37" s="3" t="str">
        <f t="shared" ref="BR37:BR47" si="136">IF(F37="","",F$36&amp;" = "&amp;F37)</f>
        <v>build_cost_ic = 5.5</v>
      </c>
      <c r="BS37" s="3" t="str">
        <f t="shared" ref="BS37:BS47" si="137">IF(G37="","",G$36&amp;" = "&amp;G37)</f>
        <v>build_cost_manpower = 0.81</v>
      </c>
      <c r="BT37" s="3" t="str">
        <f t="shared" ref="BT37:BT47" si="138">IF(H37="","",H$36&amp;" = "&amp;H37)</f>
        <v>build_time = 600</v>
      </c>
      <c r="BU37" s="3" t="str">
        <f t="shared" ref="BU37:BU47" si="139">IF(I37="","",I$36&amp;" = "&amp;I37)</f>
        <v>completion_size = 2.8</v>
      </c>
      <c r="BV37" s="3" t="str">
        <f t="shared" ref="BV37:BV47" si="140">IF(J37="","",J$36&amp;" = "&amp;J37)</f>
        <v>default_morale = 0.3</v>
      </c>
      <c r="BW37" s="3" t="str">
        <f t="shared" ref="BW37:BW47" si="141">IF(K37="","",K$36&amp;" = "&amp;K37)</f>
        <v>default_organisation = 30</v>
      </c>
      <c r="BX37" s="3" t="str">
        <f t="shared" ref="BX37:BX47" si="142">IF(L37="","",L$36&amp;" = "&amp;L37)</f>
        <v>fuel_consumption = 1.6</v>
      </c>
      <c r="BY37" s="3" t="str">
        <f t="shared" ref="BY37:BY47" si="143">IF(M37="","",M$36&amp;" = "&amp;M37)</f>
        <v>max_strength = 100</v>
      </c>
      <c r="BZ37" s="3" t="str">
        <f t="shared" ref="BZ37:BZ47" si="144">IF(N37="","",N$36&amp;" = "&amp;N37)</f>
        <v>maximum_speed = 23.35</v>
      </c>
      <c r="CA37" s="3" t="str">
        <f t="shared" ref="CA37:CA47" si="145">IF(O37="","",O$36&amp;" = "&amp;O37)</f>
        <v>officers = 81</v>
      </c>
      <c r="CB37" s="3" t="str">
        <f t="shared" ref="CB37:CB47" si="146">IF(P37="","",P$36&amp;" = "&amp;P37)</f>
        <v>on_completion = capitalship_practical</v>
      </c>
      <c r="CC37" s="3" t="str">
        <f t="shared" ref="CC37:CC47" si="147">IF(Q37="","",Q$36&amp;" = "&amp;Q37)</f>
        <v>priority = 10</v>
      </c>
      <c r="CD37" s="3" t="str">
        <f t="shared" ref="CD37:CD47" si="148">IF(R37="","",R$36&amp;" = "&amp;R37)</f>
        <v>radio_strength = 1</v>
      </c>
      <c r="CE37" s="3" t="str">
        <f t="shared" ref="CE37:CE47" si="149">IF(S37="","",S$36&amp;" = "&amp;S37)</f>
        <v>repair_cost_multiplier = 0.05</v>
      </c>
      <c r="CF37" s="3" t="str">
        <f t="shared" ref="CF37:CF47" si="150">IF(T37="","",T$36&amp;" = "&amp;T37)</f>
        <v>sprite = Battlecruiser</v>
      </c>
      <c r="CG37" s="3" t="str">
        <f t="shared" ref="CG37:CG47" si="151">IF(U37="","",U$36&amp;" = "&amp;U37)</f>
        <v>supply_consumption = 0.8</v>
      </c>
      <c r="CH37" s="3" t="str">
        <f t="shared" ref="CH37:CH47" si="152">IF(V37="","",V$36&amp;" = "&amp;V37)</f>
        <v>type = naval</v>
      </c>
      <c r="CI37" s="3" t="str">
        <f t="shared" ref="CI37:CI47" si="153">IF(W37="","",W$36&amp;" = "&amp;W37)</f>
        <v/>
      </c>
      <c r="CJ37" s="3" t="str">
        <f t="shared" ref="CJ37:CJ47" si="154">IF(X37="","",X$36&amp;" = "&amp;X37)</f>
        <v>hull = 1</v>
      </c>
      <c r="CK37" s="3" t="str">
        <f t="shared" ref="CK37:CK47" si="155">IF(Y37="","",Y$36&amp;" = "&amp;Y37)</f>
        <v/>
      </c>
      <c r="CL37" s="3" t="str">
        <f t="shared" ref="CL37:CL47" si="156">IF(Z37="","",Z$36&amp;" = "&amp;Z37)</f>
        <v/>
      </c>
      <c r="CM37" s="3" t="str">
        <f t="shared" ref="CM37:CM47" si="157">IF(AA37="","",AA$36&amp;" = "&amp;AA37)</f>
        <v/>
      </c>
      <c r="CN37" s="3" t="str">
        <f t="shared" ref="CN37:CN47" si="158">IF(AB37="","",AB$36&amp;" = "&amp;AB37)</f>
        <v>transport_capability = 0</v>
      </c>
      <c r="CO37" s="3" t="str">
        <f t="shared" ref="CO37:CO47" si="159">IF(AC37="","",AC$36&amp;" = "&amp;AC37)</f>
        <v>range = 3425</v>
      </c>
      <c r="CP37" s="3" t="str">
        <f t="shared" ref="CP37:CP47" si="160">IF(AD37="","",AD$36&amp;" = "&amp;AD37)</f>
        <v>distance = 0.22</v>
      </c>
      <c r="CQ37" s="3" t="str">
        <f t="shared" ref="CQ37:CQ47" si="161">IF(AE37="","",AE$36&amp;" = "&amp;AE37)</f>
        <v>surface_detection = 1</v>
      </c>
      <c r="CR37" s="3" t="str">
        <f t="shared" ref="CR37:CR47" si="162">IF(AF37="","",AF$36&amp;" = "&amp;AF37)</f>
        <v>air_detection = 1</v>
      </c>
      <c r="CS37" s="3" t="str">
        <f t="shared" ref="CS37:CS47" si="163">IF(AG37="","",AG$36&amp;" = "&amp;AG37)</f>
        <v>sub_detection = 0</v>
      </c>
      <c r="CT37" s="3" t="str">
        <f t="shared" ref="CT37:CT47" si="164">IF(AH37="","",AH$36&amp;" = "&amp;AH37)</f>
        <v>visibility = 80</v>
      </c>
      <c r="CU37" s="3" t="str">
        <f t="shared" ref="CU37:CU47" si="165">IF(AI37="","",AI$36&amp;" = "&amp;AI37)</f>
        <v>sea_defence = 3</v>
      </c>
      <c r="CV37" s="3" t="str">
        <f t="shared" ref="CV37:CV47" si="166">IF(AJ37="","",AJ$36&amp;" = "&amp;AJ37)</f>
        <v>convoy_attack = 12</v>
      </c>
      <c r="CW37" s="3" t="str">
        <f t="shared" ref="CW37:CW47" si="167">IF(AK37="","",AK$36&amp;" = "&amp;AK37)</f>
        <v>sea_attack = 11.1</v>
      </c>
      <c r="CX37" s="3" t="str">
        <f t="shared" ref="CX37:CX47" si="168">IF(AL37="","",AL$36&amp;" = "&amp;AL37)</f>
        <v>sub_attack = 0</v>
      </c>
      <c r="CY37" s="3" t="str">
        <f t="shared" ref="CY37:CY47" si="169">IF(AM37="","",AM$36&amp;" = "&amp;AM37)</f>
        <v>shore_bombardment = 11</v>
      </c>
      <c r="CZ37" s="3" t="str">
        <f t="shared" ref="CZ37:CZ47" si="170">IF(AN37="","",AN$36&amp;" = "&amp;AN37)</f>
        <v>capital = yes</v>
      </c>
      <c r="DA37" s="3" t="str">
        <f t="shared" ref="DA37:DA47" si="171">IF(AO37="","",AO$36&amp;" = "&amp;AO37)</f>
        <v>can_be_pride = yes</v>
      </c>
      <c r="DB37" s="3" t="str">
        <f t="shared" ref="DB37:DB47" si="172">IF(AP37="","",AP$36&amp;" = "&amp;AP37)</f>
        <v/>
      </c>
      <c r="DC37" s="3" t="str">
        <f t="shared" ref="DC37:DC47" si="173">IF(AQ37="","",AQ$36&amp;" = "&amp;AQ37)</f>
        <v/>
      </c>
      <c r="DD37" s="3" t="s">
        <v>0</v>
      </c>
      <c r="DZ37" s="3" t="str">
        <f t="shared" ref="DZ37:DZ50" si="174">concat_code(BN37:DD37)</f>
        <v xml:space="preserve">battlecruiser = {
active = no
air_attack = 0
air_defence = 2
build_cost_ic = 5.5
build_cost_manpower = 0.81
build_time = 600
completion_size = 2.8
default_morale = 0.3
default_organisation = 30
fuel_consumption = 1.6
max_strength = 100
maximum_speed = 23.35
officers = 81
on_completion = capitalship_practical
priority = 10
radio_strength = 1
repair_cost_multiplier = 0.05
sprite = Battlecruiser
supply_consumption = 0.8
type = naval
hull = 1
transport_capability = 0
range = 3425
distance = 0.22
surface_detection = 1
air_detection = 1
sub_detection = 0
visibility = 80
sea_defence = 3
convoy_attack = 12
sea_attack = 11.1
sub_attack = 0
shore_bombardment = 11
capital = yes
can_be_pride = yes
}
</v>
      </c>
    </row>
    <row r="38" spans="1:130" s="3" customFormat="1" x14ac:dyDescent="0.25">
      <c r="A38" s="2" t="str">
        <f t="shared" ca="1" si="131"/>
        <v>C:\Program Files (x86)\Paradox Interactive\Hearts of Iron III\tfh\mod\ww1tfh\units\battleship.txt</v>
      </c>
      <c r="B38" s="3" t="s">
        <v>290</v>
      </c>
      <c r="C38" s="5" t="s">
        <v>90</v>
      </c>
      <c r="D38" s="6">
        <v>0</v>
      </c>
      <c r="E38" s="6">
        <v>2</v>
      </c>
      <c r="F38" s="5">
        <v>4.45</v>
      </c>
      <c r="G38" s="5">
        <v>0.4</v>
      </c>
      <c r="H38" s="5">
        <v>400</v>
      </c>
      <c r="I38" s="5">
        <v>1.5</v>
      </c>
      <c r="J38" s="5">
        <v>0.3</v>
      </c>
      <c r="K38" s="5">
        <v>30</v>
      </c>
      <c r="L38" s="6">
        <v>0.4</v>
      </c>
      <c r="M38" s="5">
        <v>100</v>
      </c>
      <c r="N38" s="6">
        <v>14.1</v>
      </c>
      <c r="O38" s="5">
        <v>40</v>
      </c>
      <c r="P38" s="5" t="s">
        <v>315</v>
      </c>
      <c r="Q38" s="5">
        <v>11</v>
      </c>
      <c r="R38" s="5">
        <v>1</v>
      </c>
      <c r="S38" s="5">
        <v>0.05</v>
      </c>
      <c r="T38" s="5" t="s">
        <v>317</v>
      </c>
      <c r="U38" s="5">
        <v>0.35</v>
      </c>
      <c r="V38" s="5" t="s">
        <v>314</v>
      </c>
      <c r="W38" s="5" t="s">
        <v>62</v>
      </c>
      <c r="X38" s="6">
        <v>0.45</v>
      </c>
      <c r="Y38" s="5" t="s">
        <v>62</v>
      </c>
      <c r="Z38" s="5" t="s">
        <v>62</v>
      </c>
      <c r="AA38" s="5" t="s">
        <v>62</v>
      </c>
      <c r="AB38" s="5">
        <v>0</v>
      </c>
      <c r="AC38" s="5">
        <v>2600</v>
      </c>
      <c r="AD38" s="5">
        <v>0.18</v>
      </c>
      <c r="AE38" s="5">
        <v>1</v>
      </c>
      <c r="AF38" s="5">
        <v>1</v>
      </c>
      <c r="AG38" s="6">
        <v>0</v>
      </c>
      <c r="AH38" s="5">
        <v>90</v>
      </c>
      <c r="AI38" s="5">
        <v>3.25</v>
      </c>
      <c r="AJ38" s="13">
        <v>12</v>
      </c>
      <c r="AK38" s="11">
        <v>7.1</v>
      </c>
      <c r="AL38" s="5">
        <v>0</v>
      </c>
      <c r="AM38" s="5">
        <v>9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 t="shared" si="132"/>
        <v>battleship = {</v>
      </c>
      <c r="BO38" s="3" t="str">
        <f t="shared" si="133"/>
        <v>active = no</v>
      </c>
      <c r="BP38" s="3" t="str">
        <f t="shared" si="134"/>
        <v>air_attack = 0</v>
      </c>
      <c r="BQ38" s="3" t="str">
        <f t="shared" si="135"/>
        <v>air_defence = 2</v>
      </c>
      <c r="BR38" s="3" t="str">
        <f t="shared" si="136"/>
        <v>build_cost_ic = 4.45</v>
      </c>
      <c r="BS38" s="3" t="str">
        <f t="shared" si="137"/>
        <v>build_cost_manpower = 0.4</v>
      </c>
      <c r="BT38" s="3" t="str">
        <f t="shared" si="138"/>
        <v>build_time = 400</v>
      </c>
      <c r="BU38" s="3" t="str">
        <f t="shared" si="139"/>
        <v>completion_size = 1.5</v>
      </c>
      <c r="BV38" s="3" t="str">
        <f t="shared" si="140"/>
        <v>default_morale = 0.3</v>
      </c>
      <c r="BW38" s="3" t="str">
        <f t="shared" si="141"/>
        <v>default_organisation = 30</v>
      </c>
      <c r="BX38" s="3" t="str">
        <f t="shared" si="142"/>
        <v>fuel_consumption = 0.4</v>
      </c>
      <c r="BY38" s="3" t="str">
        <f t="shared" si="143"/>
        <v>max_strength = 100</v>
      </c>
      <c r="BZ38" s="3" t="str">
        <f t="shared" si="144"/>
        <v>maximum_speed = 14.1</v>
      </c>
      <c r="CA38" s="3" t="str">
        <f t="shared" si="145"/>
        <v>officers = 40</v>
      </c>
      <c r="CB38" s="3" t="str">
        <f t="shared" si="146"/>
        <v>on_completion = capitalship_practical</v>
      </c>
      <c r="CC38" s="3" t="str">
        <f t="shared" si="147"/>
        <v>priority = 11</v>
      </c>
      <c r="CD38" s="3" t="str">
        <f t="shared" si="148"/>
        <v>radio_strength = 1</v>
      </c>
      <c r="CE38" s="3" t="str">
        <f t="shared" si="149"/>
        <v>repair_cost_multiplier = 0.05</v>
      </c>
      <c r="CF38" s="3" t="str">
        <f t="shared" si="150"/>
        <v>sprite = Battleship</v>
      </c>
      <c r="CG38" s="3" t="str">
        <f t="shared" si="151"/>
        <v>supply_consumption = 0.35</v>
      </c>
      <c r="CH38" s="3" t="str">
        <f t="shared" si="152"/>
        <v>type = naval</v>
      </c>
      <c r="CI38" s="3" t="str">
        <f t="shared" si="153"/>
        <v/>
      </c>
      <c r="CJ38" s="3" t="str">
        <f t="shared" si="154"/>
        <v>hull = 0.45</v>
      </c>
      <c r="CK38" s="3" t="str">
        <f t="shared" si="155"/>
        <v/>
      </c>
      <c r="CL38" s="3" t="str">
        <f t="shared" si="156"/>
        <v/>
      </c>
      <c r="CM38" s="3" t="str">
        <f t="shared" si="157"/>
        <v/>
      </c>
      <c r="CN38" s="3" t="str">
        <f t="shared" si="158"/>
        <v>transport_capability = 0</v>
      </c>
      <c r="CO38" s="3" t="str">
        <f t="shared" si="159"/>
        <v>range = 2600</v>
      </c>
      <c r="CP38" s="3" t="str">
        <f t="shared" si="160"/>
        <v>distance = 0.18</v>
      </c>
      <c r="CQ38" s="3" t="str">
        <f t="shared" si="161"/>
        <v>surface_detection = 1</v>
      </c>
      <c r="CR38" s="3" t="str">
        <f t="shared" si="162"/>
        <v>air_detection = 1</v>
      </c>
      <c r="CS38" s="3" t="str">
        <f t="shared" si="163"/>
        <v>sub_detection = 0</v>
      </c>
      <c r="CT38" s="3" t="str">
        <f t="shared" si="164"/>
        <v>visibility = 90</v>
      </c>
      <c r="CU38" s="3" t="str">
        <f t="shared" si="165"/>
        <v>sea_defence = 3.25</v>
      </c>
      <c r="CV38" s="3" t="str">
        <f t="shared" si="166"/>
        <v>convoy_attack = 12</v>
      </c>
      <c r="CW38" s="3" t="str">
        <f t="shared" si="167"/>
        <v>sea_attack = 7.1</v>
      </c>
      <c r="CX38" s="3" t="str">
        <f t="shared" si="168"/>
        <v>sub_attack = 0</v>
      </c>
      <c r="CY38" s="3" t="str">
        <f t="shared" si="169"/>
        <v>shore_bombardment = 9</v>
      </c>
      <c r="CZ38" s="3" t="str">
        <f t="shared" si="170"/>
        <v>capital = yes</v>
      </c>
      <c r="DA38" s="3" t="str">
        <f t="shared" si="171"/>
        <v>can_be_pride = yes</v>
      </c>
      <c r="DB38" s="3" t="str">
        <f t="shared" si="172"/>
        <v/>
      </c>
      <c r="DC38" s="3" t="str">
        <f t="shared" si="173"/>
        <v/>
      </c>
      <c r="DD38" s="3" t="s">
        <v>0</v>
      </c>
      <c r="DZ38" s="3" t="str">
        <f t="shared" si="174"/>
        <v xml:space="preserve">battleship = {
active = no
air_attack = 0
air_defence = 2
build_cost_ic = 4.45
build_cost_manpower = 0.4
build_time = 400
completion_size = 1.5
default_morale = 0.3
default_organisation = 30
fuel_consumption = 0.4
max_strength = 100
maximum_speed = 14.1
officers = 40
on_completion = capitalship_practical
priority = 11
radio_strength = 1
repair_cost_multiplier = 0.05
sprite = Battleship
supply_consumption = 0.35
type = naval
hull = 0.45
transport_capability = 0
range = 2600
distance = 0.18
surface_detection = 1
air_detection = 1
sub_detection = 0
visibility = 90
sea_defence = 3.25
convoy_attack = 12
sea_attack = 7.1
sub_attack = 0
shore_bombardment = 9
capital = yes
can_be_pride = yes
}
</v>
      </c>
    </row>
    <row r="39" spans="1:130" s="3" customFormat="1" x14ac:dyDescent="0.25">
      <c r="A39" s="2" t="str">
        <f t="shared" ca="1" si="131"/>
        <v>C:\Program Files (x86)\Paradox Interactive\Hearts of Iron III\tfh\mod\ww1tfh\units\carrier.txt</v>
      </c>
      <c r="B39" s="3" t="s">
        <v>291</v>
      </c>
      <c r="C39" s="5" t="s">
        <v>90</v>
      </c>
      <c r="D39" s="6">
        <v>0</v>
      </c>
      <c r="E39" s="6">
        <v>1.5</v>
      </c>
      <c r="F39" s="5">
        <v>4.95</v>
      </c>
      <c r="G39" s="5">
        <v>0.5</v>
      </c>
      <c r="H39" s="5">
        <v>600</v>
      </c>
      <c r="I39" s="5">
        <v>2.5</v>
      </c>
      <c r="J39" s="5">
        <v>0.3</v>
      </c>
      <c r="K39" s="5">
        <v>30</v>
      </c>
      <c r="L39" s="6">
        <v>1</v>
      </c>
      <c r="M39" s="5">
        <v>100</v>
      </c>
      <c r="N39" s="6">
        <v>20</v>
      </c>
      <c r="O39" s="5">
        <v>50</v>
      </c>
      <c r="P39" s="5" t="s">
        <v>318</v>
      </c>
      <c r="Q39" s="5">
        <v>13</v>
      </c>
      <c r="R39" s="5">
        <v>1.25</v>
      </c>
      <c r="S39" s="5">
        <v>0.05</v>
      </c>
      <c r="T39" s="5" t="s">
        <v>319</v>
      </c>
      <c r="U39" s="5">
        <v>0.6</v>
      </c>
      <c r="V39" s="5" t="s">
        <v>314</v>
      </c>
      <c r="W39" s="5" t="s">
        <v>62</v>
      </c>
      <c r="X39" s="6">
        <v>0.75</v>
      </c>
      <c r="Y39" s="5" t="s">
        <v>62</v>
      </c>
      <c r="Z39" s="5" t="s">
        <v>62</v>
      </c>
      <c r="AA39" s="5" t="s">
        <v>62</v>
      </c>
      <c r="AB39" s="5">
        <v>0</v>
      </c>
      <c r="AC39" s="5">
        <v>3200</v>
      </c>
      <c r="AD39" s="5">
        <v>1</v>
      </c>
      <c r="AE39" s="5">
        <v>1</v>
      </c>
      <c r="AF39" s="5">
        <v>2</v>
      </c>
      <c r="AG39" s="6">
        <v>0</v>
      </c>
      <c r="AH39" s="5">
        <v>100</v>
      </c>
      <c r="AI39" s="5">
        <v>3.25</v>
      </c>
      <c r="AJ39" s="13">
        <v>0</v>
      </c>
      <c r="AK39" s="11">
        <v>0</v>
      </c>
      <c r="AL39" s="5">
        <v>0</v>
      </c>
      <c r="AM39" s="5">
        <v>0</v>
      </c>
      <c r="AN39" s="5" t="s">
        <v>159</v>
      </c>
      <c r="AO39" s="5" t="s">
        <v>62</v>
      </c>
      <c r="AP39" s="5">
        <v>3</v>
      </c>
      <c r="AQ39" s="5" t="s">
        <v>62</v>
      </c>
      <c r="BN39" s="3" t="str">
        <f t="shared" si="132"/>
        <v>carrier = {</v>
      </c>
      <c r="BO39" s="3" t="str">
        <f t="shared" si="133"/>
        <v>active = no</v>
      </c>
      <c r="BP39" s="3" t="str">
        <f t="shared" si="134"/>
        <v>air_attack = 0</v>
      </c>
      <c r="BQ39" s="3" t="str">
        <f t="shared" si="135"/>
        <v>air_defence = 1.5</v>
      </c>
      <c r="BR39" s="3" t="str">
        <f t="shared" si="136"/>
        <v>build_cost_ic = 4.95</v>
      </c>
      <c r="BS39" s="3" t="str">
        <f t="shared" si="137"/>
        <v>build_cost_manpower = 0.5</v>
      </c>
      <c r="BT39" s="3" t="str">
        <f t="shared" si="138"/>
        <v>build_time = 600</v>
      </c>
      <c r="BU39" s="3" t="str">
        <f t="shared" si="139"/>
        <v>completion_size = 2.5</v>
      </c>
      <c r="BV39" s="3" t="str">
        <f t="shared" si="140"/>
        <v>default_morale = 0.3</v>
      </c>
      <c r="BW39" s="3" t="str">
        <f t="shared" si="141"/>
        <v>default_organisation = 30</v>
      </c>
      <c r="BX39" s="3" t="str">
        <f t="shared" si="142"/>
        <v>fuel_consumption = 1</v>
      </c>
      <c r="BY39" s="3" t="str">
        <f t="shared" si="143"/>
        <v>max_strength = 100</v>
      </c>
      <c r="BZ39" s="3" t="str">
        <f t="shared" si="144"/>
        <v>maximum_speed = 20</v>
      </c>
      <c r="CA39" s="3" t="str">
        <f t="shared" si="145"/>
        <v>officers = 50</v>
      </c>
      <c r="CB39" s="3" t="str">
        <f t="shared" si="146"/>
        <v>on_completion = carrier_practical</v>
      </c>
      <c r="CC39" s="3" t="str">
        <f t="shared" si="147"/>
        <v>priority = 13</v>
      </c>
      <c r="CD39" s="3" t="str">
        <f t="shared" si="148"/>
        <v>radio_strength = 1.25</v>
      </c>
      <c r="CE39" s="3" t="str">
        <f t="shared" si="149"/>
        <v>repair_cost_multiplier = 0.05</v>
      </c>
      <c r="CF39" s="3" t="str">
        <f t="shared" si="150"/>
        <v>sprite = Carrier</v>
      </c>
      <c r="CG39" s="3" t="str">
        <f t="shared" si="151"/>
        <v>supply_consumption = 0.6</v>
      </c>
      <c r="CH39" s="3" t="str">
        <f t="shared" si="152"/>
        <v>type = naval</v>
      </c>
      <c r="CI39" s="3" t="str">
        <f t="shared" si="153"/>
        <v/>
      </c>
      <c r="CJ39" s="3" t="str">
        <f t="shared" si="154"/>
        <v>hull = 0.75</v>
      </c>
      <c r="CK39" s="3" t="str">
        <f t="shared" si="155"/>
        <v/>
      </c>
      <c r="CL39" s="3" t="str">
        <f t="shared" si="156"/>
        <v/>
      </c>
      <c r="CM39" s="3" t="str">
        <f t="shared" si="157"/>
        <v/>
      </c>
      <c r="CN39" s="3" t="str">
        <f t="shared" si="158"/>
        <v>transport_capability = 0</v>
      </c>
      <c r="CO39" s="3" t="str">
        <f t="shared" si="159"/>
        <v>range = 3200</v>
      </c>
      <c r="CP39" s="3" t="str">
        <f t="shared" si="160"/>
        <v>distance = 1</v>
      </c>
      <c r="CQ39" s="3" t="str">
        <f t="shared" si="161"/>
        <v>surface_detection = 1</v>
      </c>
      <c r="CR39" s="3" t="str">
        <f t="shared" si="162"/>
        <v>air_detection = 2</v>
      </c>
      <c r="CS39" s="3" t="str">
        <f t="shared" si="163"/>
        <v>sub_detection = 0</v>
      </c>
      <c r="CT39" s="3" t="str">
        <f t="shared" si="164"/>
        <v>visibility = 100</v>
      </c>
      <c r="CU39" s="3" t="str">
        <f t="shared" si="165"/>
        <v>sea_defence = 3.25</v>
      </c>
      <c r="CV39" s="3" t="str">
        <f t="shared" si="166"/>
        <v>convoy_attack = 0</v>
      </c>
      <c r="CW39" s="3" t="str">
        <f t="shared" si="167"/>
        <v>sea_attack = 0</v>
      </c>
      <c r="CX39" s="3" t="str">
        <f t="shared" si="168"/>
        <v>sub_attack = 0</v>
      </c>
      <c r="CY39" s="3" t="str">
        <f t="shared" si="169"/>
        <v>shore_bombardment = 0</v>
      </c>
      <c r="CZ39" s="3" t="str">
        <f t="shared" si="170"/>
        <v>capital = yes</v>
      </c>
      <c r="DA39" s="3" t="str">
        <f t="shared" si="171"/>
        <v/>
      </c>
      <c r="DB39" s="3" t="str">
        <f t="shared" si="172"/>
        <v>carrier_size = 3</v>
      </c>
      <c r="DC39" s="3" t="str">
        <f t="shared" si="173"/>
        <v/>
      </c>
      <c r="DD39" s="3" t="s">
        <v>0</v>
      </c>
      <c r="DZ39" s="3" t="str">
        <f t="shared" si="174"/>
        <v xml:space="preserve">carrier = {
active = no
air_attack = 0
air_defence = 1.5
build_cost_ic = 4.95
build_cost_manpower = 0.5
build_time = 600
completion_size = 2.5
default_morale = 0.3
default_organisation = 30
fuel_consumption = 1
max_strength = 100
maximum_speed = 20
officers = 50
on_completion = carrier_practical
priority = 13
radio_strength = 1.25
repair_cost_multiplier = 0.05
sprite = Carrier
supply_consumption = 0.6
type = naval
hull = 0.75
transport_capability = 0
range = 3200
distance = 1
surface_detection = 1
air_detection = 2
sub_detection = 0
visibility = 100
sea_defence = 3.25
convoy_attack = 0
sea_attack = 0
sub_attack = 0
shore_bombardment = 0
capital = yes
carrier_size = 3
}
</v>
      </c>
    </row>
    <row r="40" spans="1:130" s="3" customFormat="1" x14ac:dyDescent="0.25">
      <c r="A40" s="2" t="str">
        <f t="shared" ca="1" si="131"/>
        <v>C:\Program Files (x86)\Paradox Interactive\Hearts of Iron III\tfh\mod\ww1tfh\units\destroyer.txt</v>
      </c>
      <c r="B40" s="3" t="s">
        <v>292</v>
      </c>
      <c r="C40" s="5" t="s">
        <v>90</v>
      </c>
      <c r="D40" s="6">
        <v>0</v>
      </c>
      <c r="E40" s="6">
        <v>1.5</v>
      </c>
      <c r="F40" s="5">
        <v>2.4500000000000002</v>
      </c>
      <c r="G40" s="5">
        <v>0.42</v>
      </c>
      <c r="H40" s="5">
        <v>190</v>
      </c>
      <c r="I40" s="5">
        <v>0.4</v>
      </c>
      <c r="J40" s="5">
        <v>0.3</v>
      </c>
      <c r="K40" s="5">
        <v>30</v>
      </c>
      <c r="L40" s="6">
        <v>0.2</v>
      </c>
      <c r="M40" s="5">
        <v>100</v>
      </c>
      <c r="N40" s="6">
        <v>22.95</v>
      </c>
      <c r="O40" s="5">
        <v>42</v>
      </c>
      <c r="P40" s="5" t="s">
        <v>320</v>
      </c>
      <c r="Q40" s="5">
        <v>5</v>
      </c>
      <c r="R40" s="5">
        <v>1</v>
      </c>
      <c r="S40" s="5">
        <v>0.05</v>
      </c>
      <c r="T40" s="5" t="s">
        <v>321</v>
      </c>
      <c r="U40" s="5">
        <v>0.1</v>
      </c>
      <c r="V40" s="5" t="s">
        <v>314</v>
      </c>
      <c r="W40" s="5" t="s">
        <v>62</v>
      </c>
      <c r="X40" s="6">
        <v>0.1</v>
      </c>
      <c r="Y40" s="5" t="s">
        <v>62</v>
      </c>
      <c r="Z40" s="5" t="s">
        <v>62</v>
      </c>
      <c r="AA40" s="5" t="s">
        <v>62</v>
      </c>
      <c r="AB40" s="5">
        <v>0</v>
      </c>
      <c r="AC40" s="5">
        <v>575</v>
      </c>
      <c r="AD40" s="5">
        <v>0.06</v>
      </c>
      <c r="AE40" s="5">
        <v>3</v>
      </c>
      <c r="AF40" s="5">
        <v>2</v>
      </c>
      <c r="AG40" s="6">
        <v>3</v>
      </c>
      <c r="AH40" s="5">
        <v>50</v>
      </c>
      <c r="AI40" s="5">
        <v>14.75</v>
      </c>
      <c r="AJ40" s="13">
        <v>2</v>
      </c>
      <c r="AK40" s="11">
        <v>0.1</v>
      </c>
      <c r="AL40" s="6">
        <v>3</v>
      </c>
      <c r="AM40" s="5">
        <v>0</v>
      </c>
      <c r="AN40" s="5" t="s">
        <v>62</v>
      </c>
      <c r="AO40" s="5" t="s">
        <v>62</v>
      </c>
      <c r="AP40" s="5" t="s">
        <v>62</v>
      </c>
      <c r="AQ40" s="5" t="s">
        <v>62</v>
      </c>
      <c r="BN40" s="3" t="str">
        <f t="shared" si="132"/>
        <v>destroyer = {</v>
      </c>
      <c r="BO40" s="3" t="str">
        <f t="shared" si="133"/>
        <v>active = no</v>
      </c>
      <c r="BP40" s="3" t="str">
        <f t="shared" si="134"/>
        <v>air_attack = 0</v>
      </c>
      <c r="BQ40" s="3" t="str">
        <f t="shared" si="135"/>
        <v>air_defence = 1.5</v>
      </c>
      <c r="BR40" s="3" t="str">
        <f t="shared" si="136"/>
        <v>build_cost_ic = 2.45</v>
      </c>
      <c r="BS40" s="3" t="str">
        <f t="shared" si="137"/>
        <v>build_cost_manpower = 0.42</v>
      </c>
      <c r="BT40" s="3" t="str">
        <f t="shared" si="138"/>
        <v>build_time = 190</v>
      </c>
      <c r="BU40" s="3" t="str">
        <f t="shared" si="139"/>
        <v>completion_size = 0.4</v>
      </c>
      <c r="BV40" s="3" t="str">
        <f t="shared" si="140"/>
        <v>default_morale = 0.3</v>
      </c>
      <c r="BW40" s="3" t="str">
        <f t="shared" si="141"/>
        <v>default_organisation = 30</v>
      </c>
      <c r="BX40" s="3" t="str">
        <f t="shared" si="142"/>
        <v>fuel_consumption = 0.2</v>
      </c>
      <c r="BY40" s="3" t="str">
        <f t="shared" si="143"/>
        <v>max_strength = 100</v>
      </c>
      <c r="BZ40" s="3" t="str">
        <f t="shared" si="144"/>
        <v>maximum_speed = 22.95</v>
      </c>
      <c r="CA40" s="3" t="str">
        <f t="shared" si="145"/>
        <v>officers = 42</v>
      </c>
      <c r="CB40" s="3" t="str">
        <f t="shared" si="146"/>
        <v>on_completion = destroyer_practical</v>
      </c>
      <c r="CC40" s="3" t="str">
        <f t="shared" si="147"/>
        <v>priority = 5</v>
      </c>
      <c r="CD40" s="3" t="str">
        <f t="shared" si="148"/>
        <v>radio_strength = 1</v>
      </c>
      <c r="CE40" s="3" t="str">
        <f t="shared" si="149"/>
        <v>repair_cost_multiplier = 0.05</v>
      </c>
      <c r="CF40" s="3" t="str">
        <f t="shared" si="150"/>
        <v>sprite = Destroyer</v>
      </c>
      <c r="CG40" s="3" t="str">
        <f t="shared" si="151"/>
        <v>supply_consumption = 0.1</v>
      </c>
      <c r="CH40" s="3" t="str">
        <f t="shared" si="152"/>
        <v>type = naval</v>
      </c>
      <c r="CI40" s="3" t="str">
        <f t="shared" si="153"/>
        <v/>
      </c>
      <c r="CJ40" s="3" t="str">
        <f t="shared" si="154"/>
        <v>hull = 0.1</v>
      </c>
      <c r="CK40" s="3" t="str">
        <f t="shared" si="155"/>
        <v/>
      </c>
      <c r="CL40" s="3" t="str">
        <f t="shared" si="156"/>
        <v/>
      </c>
      <c r="CM40" s="3" t="str">
        <f t="shared" si="157"/>
        <v/>
      </c>
      <c r="CN40" s="3" t="str">
        <f t="shared" si="158"/>
        <v>transport_capability = 0</v>
      </c>
      <c r="CO40" s="3" t="str">
        <f t="shared" si="159"/>
        <v>range = 575</v>
      </c>
      <c r="CP40" s="3" t="str">
        <f t="shared" si="160"/>
        <v>distance = 0.06</v>
      </c>
      <c r="CQ40" s="3" t="str">
        <f t="shared" si="161"/>
        <v>surface_detection = 3</v>
      </c>
      <c r="CR40" s="3" t="str">
        <f t="shared" si="162"/>
        <v>air_detection = 2</v>
      </c>
      <c r="CS40" s="3" t="str">
        <f t="shared" si="163"/>
        <v>sub_detection = 3</v>
      </c>
      <c r="CT40" s="3" t="str">
        <f t="shared" si="164"/>
        <v>visibility = 50</v>
      </c>
      <c r="CU40" s="3" t="str">
        <f t="shared" si="165"/>
        <v>sea_defence = 14.75</v>
      </c>
      <c r="CV40" s="3" t="str">
        <f t="shared" si="166"/>
        <v>convoy_attack = 2</v>
      </c>
      <c r="CW40" s="3" t="str">
        <f t="shared" si="167"/>
        <v>sea_attack = 0.1</v>
      </c>
      <c r="CX40" s="3" t="str">
        <f t="shared" si="168"/>
        <v>sub_attack = 3</v>
      </c>
      <c r="CY40" s="3" t="str">
        <f t="shared" si="169"/>
        <v>shore_bombardment = 0</v>
      </c>
      <c r="CZ40" s="3" t="str">
        <f t="shared" si="170"/>
        <v/>
      </c>
      <c r="DA40" s="3" t="str">
        <f t="shared" si="171"/>
        <v/>
      </c>
      <c r="DB40" s="3" t="str">
        <f t="shared" si="172"/>
        <v/>
      </c>
      <c r="DC40" s="3" t="str">
        <f t="shared" si="173"/>
        <v/>
      </c>
      <c r="DD40" s="3" t="s">
        <v>0</v>
      </c>
      <c r="DZ40" s="3" t="str">
        <f t="shared" si="174"/>
        <v xml:space="preserve">destroyer = {
active = no
air_attack = 0
air_defence = 1.5
build_cost_ic = 2.45
build_cost_manpower = 0.42
build_time = 190
completion_size = 0.4
default_morale = 0.3
default_organisation = 30
fuel_consumption = 0.2
max_strength = 100
maximum_speed = 22.95
officers = 42
on_completion = destroyer_practical
priority = 5
radio_strength = 1
repair_cost_multiplier = 0.05
sprite = Destroyer
supply_consumption = 0.1
type = naval
hull = 0.1
transport_capability = 0
range = 575
distance = 0.06
surface_detection = 3
air_detection = 2
sub_detection = 3
visibility = 50
sea_defence = 14.75
convoy_attack = 2
sea_attack = 0.1
sub_attack = 3
shore_bombardment = 0
}
</v>
      </c>
    </row>
    <row r="41" spans="1:130" s="3" customFormat="1" x14ac:dyDescent="0.25">
      <c r="A41" s="2" t="str">
        <f t="shared" ca="1" si="131"/>
        <v>C:\Program Files (x86)\Paradox Interactive\Hearts of Iron III\tfh\mod\ww1tfh\units\escort_carrier.txt</v>
      </c>
      <c r="B41" s="3" t="s">
        <v>293</v>
      </c>
      <c r="C41" s="5" t="s">
        <v>90</v>
      </c>
      <c r="D41" s="6">
        <v>0</v>
      </c>
      <c r="E41" s="6">
        <v>0.75</v>
      </c>
      <c r="F41" s="5">
        <v>4.9000000000000004</v>
      </c>
      <c r="G41" s="5">
        <v>0.3</v>
      </c>
      <c r="H41" s="5">
        <v>250</v>
      </c>
      <c r="I41" s="5">
        <v>1</v>
      </c>
      <c r="J41" s="5">
        <v>0.3</v>
      </c>
      <c r="K41" s="5">
        <v>30</v>
      </c>
      <c r="L41" s="6">
        <v>0.35</v>
      </c>
      <c r="M41" s="5">
        <v>100</v>
      </c>
      <c r="N41" s="6">
        <v>18</v>
      </c>
      <c r="O41" s="5">
        <v>30</v>
      </c>
      <c r="P41" s="5" t="s">
        <v>318</v>
      </c>
      <c r="Q41" s="5">
        <v>9</v>
      </c>
      <c r="R41" s="5">
        <v>1.1000000000000001</v>
      </c>
      <c r="S41" s="5">
        <v>0.05</v>
      </c>
      <c r="T41" s="5" t="s">
        <v>319</v>
      </c>
      <c r="U41" s="5">
        <v>0.25</v>
      </c>
      <c r="V41" s="5" t="s">
        <v>314</v>
      </c>
      <c r="W41" s="5" t="s">
        <v>62</v>
      </c>
      <c r="X41" s="6">
        <v>0.3</v>
      </c>
      <c r="Y41" s="5" t="s">
        <v>62</v>
      </c>
      <c r="Z41" s="5" t="s">
        <v>62</v>
      </c>
      <c r="AA41" s="5" t="s">
        <v>62</v>
      </c>
      <c r="AB41" s="5">
        <v>0</v>
      </c>
      <c r="AC41" s="5">
        <v>950</v>
      </c>
      <c r="AD41" s="5">
        <v>1</v>
      </c>
      <c r="AE41" s="5">
        <v>1</v>
      </c>
      <c r="AF41" s="5">
        <v>2</v>
      </c>
      <c r="AG41" s="6">
        <v>0</v>
      </c>
      <c r="AH41" s="5">
        <v>80</v>
      </c>
      <c r="AI41" s="5">
        <v>5.5</v>
      </c>
      <c r="AJ41" s="13">
        <v>0</v>
      </c>
      <c r="AK41" s="11">
        <v>0</v>
      </c>
      <c r="AL41" s="5">
        <v>0</v>
      </c>
      <c r="AM41" s="5">
        <v>0</v>
      </c>
      <c r="AN41" s="5" t="s">
        <v>159</v>
      </c>
      <c r="AO41" s="5" t="s">
        <v>62</v>
      </c>
      <c r="AP41" s="5">
        <v>1</v>
      </c>
      <c r="AQ41" s="5" t="s">
        <v>62</v>
      </c>
      <c r="BN41" s="3" t="str">
        <f t="shared" si="132"/>
        <v>escort_carrier = {</v>
      </c>
      <c r="BO41" s="3" t="str">
        <f t="shared" si="133"/>
        <v>active = no</v>
      </c>
      <c r="BP41" s="3" t="str">
        <f t="shared" si="134"/>
        <v>air_attack = 0</v>
      </c>
      <c r="BQ41" s="3" t="str">
        <f t="shared" si="135"/>
        <v>air_defence = 0.75</v>
      </c>
      <c r="BR41" s="3" t="str">
        <f t="shared" si="136"/>
        <v>build_cost_ic = 4.9</v>
      </c>
      <c r="BS41" s="3" t="str">
        <f t="shared" si="137"/>
        <v>build_cost_manpower = 0.3</v>
      </c>
      <c r="BT41" s="3" t="str">
        <f t="shared" si="138"/>
        <v>build_time = 250</v>
      </c>
      <c r="BU41" s="3" t="str">
        <f t="shared" si="139"/>
        <v>completion_size = 1</v>
      </c>
      <c r="BV41" s="3" t="str">
        <f t="shared" si="140"/>
        <v>default_morale = 0.3</v>
      </c>
      <c r="BW41" s="3" t="str">
        <f t="shared" si="141"/>
        <v>default_organisation = 30</v>
      </c>
      <c r="BX41" s="3" t="str">
        <f t="shared" si="142"/>
        <v>fuel_consumption = 0.35</v>
      </c>
      <c r="BY41" s="3" t="str">
        <f t="shared" si="143"/>
        <v>max_strength = 100</v>
      </c>
      <c r="BZ41" s="3" t="str">
        <f t="shared" si="144"/>
        <v>maximum_speed = 18</v>
      </c>
      <c r="CA41" s="3" t="str">
        <f t="shared" si="145"/>
        <v>officers = 30</v>
      </c>
      <c r="CB41" s="3" t="str">
        <f t="shared" si="146"/>
        <v>on_completion = carrier_practical</v>
      </c>
      <c r="CC41" s="3" t="str">
        <f t="shared" si="147"/>
        <v>priority = 9</v>
      </c>
      <c r="CD41" s="3" t="str">
        <f t="shared" si="148"/>
        <v>radio_strength = 1.1</v>
      </c>
      <c r="CE41" s="3" t="str">
        <f t="shared" si="149"/>
        <v>repair_cost_multiplier = 0.05</v>
      </c>
      <c r="CF41" s="3" t="str">
        <f t="shared" si="150"/>
        <v>sprite = Carrier</v>
      </c>
      <c r="CG41" s="3" t="str">
        <f t="shared" si="151"/>
        <v>supply_consumption = 0.25</v>
      </c>
      <c r="CH41" s="3" t="str">
        <f t="shared" si="152"/>
        <v>type = naval</v>
      </c>
      <c r="CI41" s="3" t="str">
        <f t="shared" si="153"/>
        <v/>
      </c>
      <c r="CJ41" s="3" t="str">
        <f t="shared" si="154"/>
        <v>hull = 0.3</v>
      </c>
      <c r="CK41" s="3" t="str">
        <f t="shared" si="155"/>
        <v/>
      </c>
      <c r="CL41" s="3" t="str">
        <f t="shared" si="156"/>
        <v/>
      </c>
      <c r="CM41" s="3" t="str">
        <f t="shared" si="157"/>
        <v/>
      </c>
      <c r="CN41" s="3" t="str">
        <f t="shared" si="158"/>
        <v>transport_capability = 0</v>
      </c>
      <c r="CO41" s="3" t="str">
        <f t="shared" si="159"/>
        <v>range = 950</v>
      </c>
      <c r="CP41" s="3" t="str">
        <f t="shared" si="160"/>
        <v>distance = 1</v>
      </c>
      <c r="CQ41" s="3" t="str">
        <f t="shared" si="161"/>
        <v>surface_detection = 1</v>
      </c>
      <c r="CR41" s="3" t="str">
        <f t="shared" si="162"/>
        <v>air_detection = 2</v>
      </c>
      <c r="CS41" s="3" t="str">
        <f t="shared" si="163"/>
        <v>sub_detection = 0</v>
      </c>
      <c r="CT41" s="3" t="str">
        <f t="shared" si="164"/>
        <v>visibility = 80</v>
      </c>
      <c r="CU41" s="3" t="str">
        <f t="shared" si="165"/>
        <v>sea_defence = 5.5</v>
      </c>
      <c r="CV41" s="3" t="str">
        <f t="shared" si="166"/>
        <v>convoy_attack = 0</v>
      </c>
      <c r="CW41" s="3" t="str">
        <f t="shared" si="167"/>
        <v>sea_attack = 0</v>
      </c>
      <c r="CX41" s="3" t="str">
        <f t="shared" si="168"/>
        <v>sub_attack = 0</v>
      </c>
      <c r="CY41" s="3" t="str">
        <f t="shared" si="169"/>
        <v>shore_bombardment = 0</v>
      </c>
      <c r="CZ41" s="3" t="str">
        <f t="shared" si="170"/>
        <v>capital = yes</v>
      </c>
      <c r="DA41" s="3" t="str">
        <f t="shared" si="171"/>
        <v/>
      </c>
      <c r="DB41" s="3" t="str">
        <f t="shared" si="172"/>
        <v>carrier_size = 1</v>
      </c>
      <c r="DC41" s="3" t="str">
        <f t="shared" si="173"/>
        <v/>
      </c>
      <c r="DD41" s="3" t="s">
        <v>0</v>
      </c>
      <c r="DZ41" s="3" t="str">
        <f t="shared" si="174"/>
        <v xml:space="preserve">escort_carrier = {
active = no
air_attack = 0
air_defence = 0.75
build_cost_ic = 4.9
build_cost_manpower = 0.3
build_time = 250
completion_size = 1
default_morale = 0.3
default_organisation = 30
fuel_consumption = 0.35
max_strength = 100
maximum_speed = 18
officers = 30
on_completion = carrier_practical
priority = 9
radio_strength = 1.1
repair_cost_multiplier = 0.05
sprite = Carrier
supply_consumption = 0.25
type = naval
hull = 0.3
transport_capability = 0
range = 950
distance = 1
surface_detection = 1
air_detection = 2
sub_detection = 0
visibility = 80
sea_defence = 5.5
convoy_attack = 0
sea_attack = 0
sub_attack = 0
shore_bombardment = 0
capital = yes
carrier_size = 1
}
</v>
      </c>
    </row>
    <row r="42" spans="1:130" s="3" customFormat="1" x14ac:dyDescent="0.25">
      <c r="A42" s="2" t="str">
        <f t="shared" ca="1" si="131"/>
        <v>C:\Program Files (x86)\Paradox Interactive\Hearts of Iron III\tfh\mod\ww1tfh\units\heavy_cruiser.txt</v>
      </c>
      <c r="B42" s="3" t="s">
        <v>294</v>
      </c>
      <c r="C42" s="5" t="s">
        <v>90</v>
      </c>
      <c r="D42" s="6">
        <v>0</v>
      </c>
      <c r="E42" s="6">
        <v>2</v>
      </c>
      <c r="F42" s="5">
        <v>5.15</v>
      </c>
      <c r="G42" s="5">
        <v>0.52</v>
      </c>
      <c r="H42" s="5">
        <v>350</v>
      </c>
      <c r="I42" s="5">
        <v>1.5</v>
      </c>
      <c r="J42" s="5">
        <v>0.3</v>
      </c>
      <c r="K42" s="5">
        <v>30</v>
      </c>
      <c r="L42" s="6">
        <v>0.55000000000000004</v>
      </c>
      <c r="M42" s="5">
        <v>100</v>
      </c>
      <c r="N42" s="6">
        <v>18.25</v>
      </c>
      <c r="O42" s="5">
        <v>52</v>
      </c>
      <c r="P42" s="5" t="s">
        <v>322</v>
      </c>
      <c r="Q42" s="5">
        <v>8</v>
      </c>
      <c r="R42" s="5">
        <v>1</v>
      </c>
      <c r="S42" s="5">
        <v>0.05</v>
      </c>
      <c r="T42" s="5" t="s">
        <v>323</v>
      </c>
      <c r="U42" s="5">
        <v>0.35</v>
      </c>
      <c r="V42" s="5" t="s">
        <v>314</v>
      </c>
      <c r="W42" s="5" t="s">
        <v>62</v>
      </c>
      <c r="X42" s="6">
        <v>0.45</v>
      </c>
      <c r="Y42" s="5" t="s">
        <v>62</v>
      </c>
      <c r="Z42" s="5" t="s">
        <v>62</v>
      </c>
      <c r="AA42" s="5" t="s">
        <v>62</v>
      </c>
      <c r="AB42" s="5">
        <v>0</v>
      </c>
      <c r="AC42" s="5">
        <v>3600</v>
      </c>
      <c r="AD42" s="5">
        <v>0.17</v>
      </c>
      <c r="AE42" s="5">
        <v>1</v>
      </c>
      <c r="AF42" s="5">
        <v>1</v>
      </c>
      <c r="AG42" s="6">
        <v>1</v>
      </c>
      <c r="AH42" s="5">
        <v>70</v>
      </c>
      <c r="AI42" s="5">
        <v>4.25</v>
      </c>
      <c r="AJ42" s="13">
        <v>6</v>
      </c>
      <c r="AK42" s="11">
        <v>2.15</v>
      </c>
      <c r="AL42" s="5">
        <v>1</v>
      </c>
      <c r="AM42" s="5">
        <v>5</v>
      </c>
      <c r="AN42" s="5" t="s">
        <v>159</v>
      </c>
      <c r="AO42" s="5" t="s">
        <v>62</v>
      </c>
      <c r="AP42" s="5" t="s">
        <v>62</v>
      </c>
      <c r="AQ42" s="5" t="s">
        <v>62</v>
      </c>
      <c r="BN42" s="3" t="str">
        <f t="shared" si="132"/>
        <v>heavy_cruiser = {</v>
      </c>
      <c r="BO42" s="3" t="str">
        <f t="shared" si="133"/>
        <v>active = no</v>
      </c>
      <c r="BP42" s="3" t="str">
        <f t="shared" si="134"/>
        <v>air_attack = 0</v>
      </c>
      <c r="BQ42" s="3" t="str">
        <f t="shared" si="135"/>
        <v>air_defence = 2</v>
      </c>
      <c r="BR42" s="3" t="str">
        <f t="shared" si="136"/>
        <v>build_cost_ic = 5.15</v>
      </c>
      <c r="BS42" s="3" t="str">
        <f t="shared" si="137"/>
        <v>build_cost_manpower = 0.52</v>
      </c>
      <c r="BT42" s="3" t="str">
        <f t="shared" si="138"/>
        <v>build_time = 350</v>
      </c>
      <c r="BU42" s="3" t="str">
        <f t="shared" si="139"/>
        <v>completion_size = 1.5</v>
      </c>
      <c r="BV42" s="3" t="str">
        <f t="shared" si="140"/>
        <v>default_morale = 0.3</v>
      </c>
      <c r="BW42" s="3" t="str">
        <f t="shared" si="141"/>
        <v>default_organisation = 30</v>
      </c>
      <c r="BX42" s="3" t="str">
        <f t="shared" si="142"/>
        <v>fuel_consumption = 0.55</v>
      </c>
      <c r="BY42" s="3" t="str">
        <f t="shared" si="143"/>
        <v>max_strength = 100</v>
      </c>
      <c r="BZ42" s="3" t="str">
        <f t="shared" si="144"/>
        <v>maximum_speed = 18.25</v>
      </c>
      <c r="CA42" s="3" t="str">
        <f t="shared" si="145"/>
        <v>officers = 52</v>
      </c>
      <c r="CB42" s="3" t="str">
        <f t="shared" si="146"/>
        <v>on_completion = cruiser_practical</v>
      </c>
      <c r="CC42" s="3" t="str">
        <f t="shared" si="147"/>
        <v>priority = 8</v>
      </c>
      <c r="CD42" s="3" t="str">
        <f t="shared" si="148"/>
        <v>radio_strength = 1</v>
      </c>
      <c r="CE42" s="3" t="str">
        <f t="shared" si="149"/>
        <v>repair_cost_multiplier = 0.05</v>
      </c>
      <c r="CF42" s="3" t="str">
        <f t="shared" si="150"/>
        <v>sprite = HeavyCruiser</v>
      </c>
      <c r="CG42" s="3" t="str">
        <f t="shared" si="151"/>
        <v>supply_consumption = 0.35</v>
      </c>
      <c r="CH42" s="3" t="str">
        <f t="shared" si="152"/>
        <v>type = naval</v>
      </c>
      <c r="CI42" s="3" t="str">
        <f t="shared" si="153"/>
        <v/>
      </c>
      <c r="CJ42" s="3" t="str">
        <f t="shared" si="154"/>
        <v>hull = 0.45</v>
      </c>
      <c r="CK42" s="3" t="str">
        <f t="shared" si="155"/>
        <v/>
      </c>
      <c r="CL42" s="3" t="str">
        <f t="shared" si="156"/>
        <v/>
      </c>
      <c r="CM42" s="3" t="str">
        <f t="shared" si="157"/>
        <v/>
      </c>
      <c r="CN42" s="3" t="str">
        <f t="shared" si="158"/>
        <v>transport_capability = 0</v>
      </c>
      <c r="CO42" s="3" t="str">
        <f t="shared" si="159"/>
        <v>range = 3600</v>
      </c>
      <c r="CP42" s="3" t="str">
        <f t="shared" si="160"/>
        <v>distance = 0.17</v>
      </c>
      <c r="CQ42" s="3" t="str">
        <f t="shared" si="161"/>
        <v>surface_detection = 1</v>
      </c>
      <c r="CR42" s="3" t="str">
        <f t="shared" si="162"/>
        <v>air_detection = 1</v>
      </c>
      <c r="CS42" s="3" t="str">
        <f t="shared" si="163"/>
        <v>sub_detection = 1</v>
      </c>
      <c r="CT42" s="3" t="str">
        <f t="shared" si="164"/>
        <v>visibility = 70</v>
      </c>
      <c r="CU42" s="3" t="str">
        <f t="shared" si="165"/>
        <v>sea_defence = 4.25</v>
      </c>
      <c r="CV42" s="3" t="str">
        <f t="shared" si="166"/>
        <v>convoy_attack = 6</v>
      </c>
      <c r="CW42" s="3" t="str">
        <f t="shared" si="167"/>
        <v>sea_attack = 2.15</v>
      </c>
      <c r="CX42" s="3" t="str">
        <f t="shared" si="168"/>
        <v>sub_attack = 1</v>
      </c>
      <c r="CY42" s="3" t="str">
        <f t="shared" si="169"/>
        <v>shore_bombardment = 5</v>
      </c>
      <c r="CZ42" s="3" t="str">
        <f t="shared" si="170"/>
        <v>capital = yes</v>
      </c>
      <c r="DA42" s="3" t="str">
        <f t="shared" si="171"/>
        <v/>
      </c>
      <c r="DB42" s="3" t="str">
        <f t="shared" si="172"/>
        <v/>
      </c>
      <c r="DC42" s="3" t="str">
        <f t="shared" si="173"/>
        <v/>
      </c>
      <c r="DD42" s="3" t="s">
        <v>0</v>
      </c>
      <c r="DZ42" s="3" t="str">
        <f t="shared" si="174"/>
        <v xml:space="preserve">heavy_cruiser = {
active = no
air_attack = 0
air_defence = 2
build_cost_ic = 5.15
build_cost_manpower = 0.52
build_time = 350
completion_size = 1.5
default_morale = 0.3
default_organisation = 30
fuel_consumption = 0.55
max_strength = 100
maximum_speed = 18.25
officers = 52
on_completion = cruiser_practical
priority = 8
radio_strength = 1
repair_cost_multiplier = 0.05
sprite = HeavyCruiser
supply_consumption = 0.35
type = naval
hull = 0.45
transport_capability = 0
range = 3600
distance = 0.17
surface_detection = 1
air_detection = 1
sub_detection = 1
visibility = 70
sea_defence = 4.25
convoy_attack = 6
sea_attack = 2.15
sub_attack = 1
shore_bombardment = 5
capital = yes
}
</v>
      </c>
    </row>
    <row r="43" spans="1:130" s="3" customFormat="1" x14ac:dyDescent="0.25">
      <c r="A43" s="2" t="str">
        <f t="shared" ca="1" si="131"/>
        <v>C:\Program Files (x86)\Paradox Interactive\Hearts of Iron III\tfh\mod\ww1tfh\units\invasion_transport_ship.txt</v>
      </c>
      <c r="B43" s="3" t="s">
        <v>295</v>
      </c>
      <c r="C43" s="5" t="s">
        <v>90</v>
      </c>
      <c r="D43" s="6">
        <v>0</v>
      </c>
      <c r="E43" s="6">
        <v>0.5</v>
      </c>
      <c r="F43" s="5">
        <v>6</v>
      </c>
      <c r="G43" s="5">
        <v>1.25</v>
      </c>
      <c r="H43" s="5">
        <v>110</v>
      </c>
      <c r="I43" s="5">
        <v>0.6</v>
      </c>
      <c r="J43" s="5">
        <v>0.25</v>
      </c>
      <c r="K43" s="5">
        <v>22</v>
      </c>
      <c r="L43" s="6">
        <v>0.6</v>
      </c>
      <c r="M43" s="5">
        <v>100</v>
      </c>
      <c r="N43" s="6">
        <v>14.4</v>
      </c>
      <c r="O43" s="5">
        <v>0</v>
      </c>
      <c r="P43" s="5" t="s">
        <v>313</v>
      </c>
      <c r="Q43" s="5">
        <v>1</v>
      </c>
      <c r="R43" s="5">
        <v>1</v>
      </c>
      <c r="S43" s="5">
        <v>0.05</v>
      </c>
      <c r="T43" s="5" t="s">
        <v>324</v>
      </c>
      <c r="U43" s="5">
        <v>0.5</v>
      </c>
      <c r="V43" s="5" t="s">
        <v>314</v>
      </c>
      <c r="W43" s="5" t="s">
        <v>159</v>
      </c>
      <c r="X43" s="6">
        <v>0.6</v>
      </c>
      <c r="Y43" s="5">
        <v>0.25</v>
      </c>
      <c r="Z43" s="5">
        <v>0.1</v>
      </c>
      <c r="AA43" s="5" t="s">
        <v>62</v>
      </c>
      <c r="AB43" s="5">
        <v>60</v>
      </c>
      <c r="AC43" s="5">
        <v>3500</v>
      </c>
      <c r="AD43" s="5">
        <v>0.1</v>
      </c>
      <c r="AE43" s="5">
        <v>0</v>
      </c>
      <c r="AF43" s="5">
        <v>0</v>
      </c>
      <c r="AG43" s="6">
        <v>0</v>
      </c>
      <c r="AH43" s="5">
        <v>80</v>
      </c>
      <c r="AI43" s="5">
        <v>1</v>
      </c>
      <c r="AJ43" s="13">
        <v>0</v>
      </c>
      <c r="AK43" s="11">
        <v>0</v>
      </c>
      <c r="AL43" s="5">
        <v>0</v>
      </c>
      <c r="AM43" s="5">
        <v>0</v>
      </c>
      <c r="AN43" s="5" t="s">
        <v>62</v>
      </c>
      <c r="AO43" s="5" t="s">
        <v>62</v>
      </c>
      <c r="AP43" s="5" t="s">
        <v>62</v>
      </c>
      <c r="AQ43" s="5" t="s">
        <v>62</v>
      </c>
      <c r="BN43" s="3" t="str">
        <f t="shared" si="132"/>
        <v>invasion_transport_ship = {</v>
      </c>
      <c r="BO43" s="3" t="str">
        <f t="shared" si="133"/>
        <v>active = no</v>
      </c>
      <c r="BP43" s="3" t="str">
        <f t="shared" si="134"/>
        <v>air_attack = 0</v>
      </c>
      <c r="BQ43" s="3" t="str">
        <f t="shared" si="135"/>
        <v>air_defence = 0.5</v>
      </c>
      <c r="BR43" s="3" t="str">
        <f t="shared" si="136"/>
        <v>build_cost_ic = 6</v>
      </c>
      <c r="BS43" s="3" t="str">
        <f t="shared" si="137"/>
        <v>build_cost_manpower = 1.25</v>
      </c>
      <c r="BT43" s="3" t="str">
        <f t="shared" si="138"/>
        <v>build_time = 110</v>
      </c>
      <c r="BU43" s="3" t="str">
        <f t="shared" si="139"/>
        <v>completion_size = 0.6</v>
      </c>
      <c r="BV43" s="3" t="str">
        <f t="shared" si="140"/>
        <v>default_morale = 0.25</v>
      </c>
      <c r="BW43" s="3" t="str">
        <f t="shared" si="141"/>
        <v>default_organisation = 22</v>
      </c>
      <c r="BX43" s="3" t="str">
        <f t="shared" si="142"/>
        <v>fuel_consumption = 0.6</v>
      </c>
      <c r="BY43" s="3" t="str">
        <f t="shared" si="143"/>
        <v>max_strength = 100</v>
      </c>
      <c r="BZ43" s="3" t="str">
        <f t="shared" si="144"/>
        <v>maximum_speed = 14.4</v>
      </c>
      <c r="CA43" s="3" t="str">
        <f t="shared" si="145"/>
        <v>officers = 0</v>
      </c>
      <c r="CB43" s="3" t="str">
        <f t="shared" si="146"/>
        <v>on_completion = transport_practical</v>
      </c>
      <c r="CC43" s="3" t="str">
        <f t="shared" si="147"/>
        <v>priority = 1</v>
      </c>
      <c r="CD43" s="3" t="str">
        <f t="shared" si="148"/>
        <v>radio_strength = 1</v>
      </c>
      <c r="CE43" s="3" t="str">
        <f t="shared" si="149"/>
        <v>repair_cost_multiplier = 0.05</v>
      </c>
      <c r="CF43" s="3" t="str">
        <f t="shared" si="150"/>
        <v>sprite = LCTLandingcraft</v>
      </c>
      <c r="CG43" s="3" t="str">
        <f t="shared" si="151"/>
        <v>supply_consumption = 0.5</v>
      </c>
      <c r="CH43" s="3" t="str">
        <f t="shared" si="152"/>
        <v>type = naval</v>
      </c>
      <c r="CI43" s="3" t="str">
        <f t="shared" si="153"/>
        <v>transport = yes</v>
      </c>
      <c r="CJ43" s="3" t="str">
        <f t="shared" si="154"/>
        <v>hull = 0.6</v>
      </c>
      <c r="CK43" s="3" t="str">
        <f t="shared" si="155"/>
        <v>amphibious_invasion_speed = 0.25</v>
      </c>
      <c r="CL43" s="3" t="str">
        <f t="shared" si="156"/>
        <v>amphibious_invasion_defence = 0.1</v>
      </c>
      <c r="CM43" s="3" t="str">
        <f t="shared" si="157"/>
        <v/>
      </c>
      <c r="CN43" s="3" t="str">
        <f t="shared" si="158"/>
        <v>transport_capability = 60</v>
      </c>
      <c r="CO43" s="3" t="str">
        <f t="shared" si="159"/>
        <v>range = 3500</v>
      </c>
      <c r="CP43" s="3" t="str">
        <f t="shared" si="160"/>
        <v>distance = 0.1</v>
      </c>
      <c r="CQ43" s="3" t="str">
        <f t="shared" si="161"/>
        <v>surface_detection = 0</v>
      </c>
      <c r="CR43" s="3" t="str">
        <f t="shared" si="162"/>
        <v>air_detection = 0</v>
      </c>
      <c r="CS43" s="3" t="str">
        <f t="shared" si="163"/>
        <v>sub_detection = 0</v>
      </c>
      <c r="CT43" s="3" t="str">
        <f t="shared" si="164"/>
        <v>visibility = 80</v>
      </c>
      <c r="CU43" s="3" t="str">
        <f t="shared" si="165"/>
        <v>sea_defence = 1</v>
      </c>
      <c r="CV43" s="3" t="str">
        <f t="shared" si="166"/>
        <v>convoy_attack = 0</v>
      </c>
      <c r="CW43" s="3" t="str">
        <f t="shared" si="167"/>
        <v>sea_attack = 0</v>
      </c>
      <c r="CX43" s="3" t="str">
        <f t="shared" si="168"/>
        <v>sub_attack = 0</v>
      </c>
      <c r="CY43" s="3" t="str">
        <f t="shared" si="169"/>
        <v>shore_bombardment = 0</v>
      </c>
      <c r="CZ43" s="3" t="str">
        <f t="shared" si="170"/>
        <v/>
      </c>
      <c r="DA43" s="3" t="str">
        <f t="shared" si="171"/>
        <v/>
      </c>
      <c r="DB43" s="3" t="str">
        <f t="shared" si="172"/>
        <v/>
      </c>
      <c r="DC43" s="3" t="str">
        <f t="shared" si="173"/>
        <v/>
      </c>
      <c r="DD43" s="3" t="s">
        <v>0</v>
      </c>
      <c r="DZ43" s="3" t="str">
        <f t="shared" si="174"/>
        <v xml:space="preserve">invasion_transport_ship = {
active = no
air_attack = 0
air_defence = 0.5
build_cost_ic = 6
build_cost_manpower = 1.25
build_time = 110
completion_size = 0.6
default_morale = 0.25
default_organisation = 22
fuel_consumption = 0.6
max_strength = 100
maximum_speed = 14.4
officers = 0
on_completion = transport_practical
priority = 1
radio_strength = 1
repair_cost_multiplier = 0.05
sprite = LCTLandingcraft
supply_consumption = 0.5
type = naval
transport = yes
hull = 0.6
amphibious_invasion_speed = 0.25
amphibious_invasion_defence = 0.1
transport_capability = 60
range = 3500
distance = 0.1
surface_detection = 0
air_detection = 0
sub_detection = 0
visibility = 80
sea_defence = 1
convoy_attack = 0
sea_attack = 0
sub_attack = 0
shore_bombardment = 0
}
</v>
      </c>
    </row>
    <row r="44" spans="1:130" s="3" customFormat="1" x14ac:dyDescent="0.25">
      <c r="A44" s="2" t="str">
        <f t="shared" ca="1" si="131"/>
        <v>C:\Program Files (x86)\Paradox Interactive\Hearts of Iron III\tfh\mod\ww1tfh\units\light_cruiser.txt</v>
      </c>
      <c r="B44" s="3" t="s">
        <v>296</v>
      </c>
      <c r="C44" s="5" t="s">
        <v>90</v>
      </c>
      <c r="D44" s="6">
        <v>0</v>
      </c>
      <c r="E44" s="6">
        <v>2.5</v>
      </c>
      <c r="F44" s="5">
        <v>3.15</v>
      </c>
      <c r="G44" s="5">
        <v>0.32</v>
      </c>
      <c r="H44" s="5">
        <v>350</v>
      </c>
      <c r="I44" s="5">
        <v>0.9</v>
      </c>
      <c r="J44" s="5">
        <v>0.3</v>
      </c>
      <c r="K44" s="5">
        <v>30</v>
      </c>
      <c r="L44" s="6">
        <v>0.4</v>
      </c>
      <c r="M44" s="5">
        <v>100</v>
      </c>
      <c r="N44" s="6">
        <v>22.45</v>
      </c>
      <c r="O44" s="5">
        <v>32</v>
      </c>
      <c r="P44" s="5" t="s">
        <v>322</v>
      </c>
      <c r="Q44" s="5">
        <v>7</v>
      </c>
      <c r="R44" s="5">
        <v>1</v>
      </c>
      <c r="S44" s="5">
        <v>0.05</v>
      </c>
      <c r="T44" s="5" t="s">
        <v>325</v>
      </c>
      <c r="U44" s="5">
        <v>0.2</v>
      </c>
      <c r="V44" s="5" t="s">
        <v>314</v>
      </c>
      <c r="W44" s="5" t="s">
        <v>62</v>
      </c>
      <c r="X44" s="6">
        <v>0.25</v>
      </c>
      <c r="Y44" s="5" t="s">
        <v>62</v>
      </c>
      <c r="Z44" s="5" t="s">
        <v>62</v>
      </c>
      <c r="AA44" s="5" t="s">
        <v>62</v>
      </c>
      <c r="AB44" s="5">
        <v>0</v>
      </c>
      <c r="AC44" s="5">
        <v>2775</v>
      </c>
      <c r="AD44" s="5">
        <v>0.13</v>
      </c>
      <c r="AE44" s="5">
        <v>2</v>
      </c>
      <c r="AF44" s="5">
        <v>2</v>
      </c>
      <c r="AG44" s="6">
        <v>2</v>
      </c>
      <c r="AH44" s="5">
        <v>60</v>
      </c>
      <c r="AI44" s="5">
        <v>7.5</v>
      </c>
      <c r="AJ44" s="13">
        <v>3</v>
      </c>
      <c r="AK44" s="11">
        <v>1.6</v>
      </c>
      <c r="AL44" s="6">
        <v>1</v>
      </c>
      <c r="AM44" s="5">
        <v>1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 t="shared" si="132"/>
        <v>light_cruiser = {</v>
      </c>
      <c r="BO44" s="3" t="str">
        <f t="shared" si="133"/>
        <v>active = no</v>
      </c>
      <c r="BP44" s="3" t="str">
        <f t="shared" si="134"/>
        <v>air_attack = 0</v>
      </c>
      <c r="BQ44" s="3" t="str">
        <f t="shared" si="135"/>
        <v>air_defence = 2.5</v>
      </c>
      <c r="BR44" s="3" t="str">
        <f t="shared" si="136"/>
        <v>build_cost_ic = 3.15</v>
      </c>
      <c r="BS44" s="3" t="str">
        <f t="shared" si="137"/>
        <v>build_cost_manpower = 0.32</v>
      </c>
      <c r="BT44" s="3" t="str">
        <f t="shared" si="138"/>
        <v>build_time = 350</v>
      </c>
      <c r="BU44" s="3" t="str">
        <f t="shared" si="139"/>
        <v>completion_size = 0.9</v>
      </c>
      <c r="BV44" s="3" t="str">
        <f t="shared" si="140"/>
        <v>default_morale = 0.3</v>
      </c>
      <c r="BW44" s="3" t="str">
        <f t="shared" si="141"/>
        <v>default_organisation = 30</v>
      </c>
      <c r="BX44" s="3" t="str">
        <f t="shared" si="142"/>
        <v>fuel_consumption = 0.4</v>
      </c>
      <c r="BY44" s="3" t="str">
        <f t="shared" si="143"/>
        <v>max_strength = 100</v>
      </c>
      <c r="BZ44" s="3" t="str">
        <f t="shared" si="144"/>
        <v>maximum_speed = 22.45</v>
      </c>
      <c r="CA44" s="3" t="str">
        <f t="shared" si="145"/>
        <v>officers = 32</v>
      </c>
      <c r="CB44" s="3" t="str">
        <f t="shared" si="146"/>
        <v>on_completion = cruiser_practical</v>
      </c>
      <c r="CC44" s="3" t="str">
        <f t="shared" si="147"/>
        <v>priority = 7</v>
      </c>
      <c r="CD44" s="3" t="str">
        <f t="shared" si="148"/>
        <v>radio_strength = 1</v>
      </c>
      <c r="CE44" s="3" t="str">
        <f t="shared" si="149"/>
        <v>repair_cost_multiplier = 0.05</v>
      </c>
      <c r="CF44" s="3" t="str">
        <f t="shared" si="150"/>
        <v>sprite = LightCruiser</v>
      </c>
      <c r="CG44" s="3" t="str">
        <f t="shared" si="151"/>
        <v>supply_consumption = 0.2</v>
      </c>
      <c r="CH44" s="3" t="str">
        <f t="shared" si="152"/>
        <v>type = naval</v>
      </c>
      <c r="CI44" s="3" t="str">
        <f t="shared" si="153"/>
        <v/>
      </c>
      <c r="CJ44" s="3" t="str">
        <f t="shared" si="154"/>
        <v>hull = 0.25</v>
      </c>
      <c r="CK44" s="3" t="str">
        <f t="shared" si="155"/>
        <v/>
      </c>
      <c r="CL44" s="3" t="str">
        <f t="shared" si="156"/>
        <v/>
      </c>
      <c r="CM44" s="3" t="str">
        <f t="shared" si="157"/>
        <v/>
      </c>
      <c r="CN44" s="3" t="str">
        <f t="shared" si="158"/>
        <v>transport_capability = 0</v>
      </c>
      <c r="CO44" s="3" t="str">
        <f t="shared" si="159"/>
        <v>range = 2775</v>
      </c>
      <c r="CP44" s="3" t="str">
        <f t="shared" si="160"/>
        <v>distance = 0.13</v>
      </c>
      <c r="CQ44" s="3" t="str">
        <f t="shared" si="161"/>
        <v>surface_detection = 2</v>
      </c>
      <c r="CR44" s="3" t="str">
        <f t="shared" si="162"/>
        <v>air_detection = 2</v>
      </c>
      <c r="CS44" s="3" t="str">
        <f t="shared" si="163"/>
        <v>sub_detection = 2</v>
      </c>
      <c r="CT44" s="3" t="str">
        <f t="shared" si="164"/>
        <v>visibility = 60</v>
      </c>
      <c r="CU44" s="3" t="str">
        <f t="shared" si="165"/>
        <v>sea_defence = 7.5</v>
      </c>
      <c r="CV44" s="3" t="str">
        <f t="shared" si="166"/>
        <v>convoy_attack = 3</v>
      </c>
      <c r="CW44" s="3" t="str">
        <f t="shared" si="167"/>
        <v>sea_attack = 1.6</v>
      </c>
      <c r="CX44" s="3" t="str">
        <f t="shared" si="168"/>
        <v>sub_attack = 1</v>
      </c>
      <c r="CY44" s="3" t="str">
        <f t="shared" si="169"/>
        <v>shore_bombardment = 1</v>
      </c>
      <c r="CZ44" s="3" t="str">
        <f t="shared" si="170"/>
        <v/>
      </c>
      <c r="DA44" s="3" t="str">
        <f t="shared" si="171"/>
        <v/>
      </c>
      <c r="DB44" s="3" t="str">
        <f t="shared" si="172"/>
        <v/>
      </c>
      <c r="DC44" s="3" t="str">
        <f t="shared" si="173"/>
        <v/>
      </c>
      <c r="DD44" s="3" t="s">
        <v>0</v>
      </c>
      <c r="DZ44" s="3" t="str">
        <f t="shared" si="174"/>
        <v xml:space="preserve">light_cruiser = {
active = no
air_attack = 0
air_defence = 2.5
build_cost_ic = 3.15
build_cost_manpower = 0.32
build_time = 350
completion_size = 0.9
default_morale = 0.3
default_organisation = 30
fuel_consumption = 0.4
max_strength = 100
maximum_speed = 22.45
officers = 32
on_completion = cruiser_practical
priority = 7
radio_strength = 1
repair_cost_multiplier = 0.05
sprite = LightCruiser
supply_consumption = 0.2
type = naval
hull = 0.25
transport_capability = 0
range = 2775
distance = 0.13
surface_detection = 2
air_detection = 2
sub_detection = 2
visibility = 60
sea_defence = 7.5
convoy_attack = 3
sea_attack = 1.6
sub_attack = 1
shore_bombardment = 1
}
</v>
      </c>
    </row>
    <row r="45" spans="1:130" s="3" customFormat="1" x14ac:dyDescent="0.25">
      <c r="A45" s="2" t="str">
        <f t="shared" ca="1" si="131"/>
        <v>C:\Program Files (x86)\Paradox Interactive\Hearts of Iron III\tfh\mod\ww1tfh\units\submarine.txt</v>
      </c>
      <c r="B45" s="3" t="s">
        <v>297</v>
      </c>
      <c r="C45" s="5" t="s">
        <v>90</v>
      </c>
      <c r="D45" s="6">
        <v>0</v>
      </c>
      <c r="E45" s="6">
        <v>0.5</v>
      </c>
      <c r="F45" s="5">
        <v>2.5</v>
      </c>
      <c r="G45" s="5">
        <v>0.14000000000000001</v>
      </c>
      <c r="H45" s="5">
        <v>300</v>
      </c>
      <c r="I45" s="5">
        <v>0.6</v>
      </c>
      <c r="J45" s="5">
        <v>0.35</v>
      </c>
      <c r="K45" s="5">
        <v>25</v>
      </c>
      <c r="L45" s="6">
        <v>0.1</v>
      </c>
      <c r="M45" s="5">
        <v>100</v>
      </c>
      <c r="N45" s="6">
        <v>11.9</v>
      </c>
      <c r="O45" s="5">
        <v>14</v>
      </c>
      <c r="P45" s="5" t="s">
        <v>326</v>
      </c>
      <c r="Q45" s="5">
        <v>3</v>
      </c>
      <c r="R45" s="5">
        <v>1</v>
      </c>
      <c r="S45" s="5">
        <v>0.05</v>
      </c>
      <c r="T45" s="5" t="s">
        <v>327</v>
      </c>
      <c r="U45" s="5">
        <v>0.2</v>
      </c>
      <c r="V45" s="5" t="s">
        <v>314</v>
      </c>
      <c r="W45" s="5" t="s">
        <v>62</v>
      </c>
      <c r="X45" s="6">
        <v>0.1</v>
      </c>
      <c r="Y45" s="5" t="s">
        <v>62</v>
      </c>
      <c r="Z45" s="5" t="s">
        <v>62</v>
      </c>
      <c r="AA45" s="5" t="s">
        <v>62</v>
      </c>
      <c r="AB45" s="5">
        <v>0</v>
      </c>
      <c r="AC45" s="5">
        <v>0</v>
      </c>
      <c r="AD45" s="2">
        <v>0.04</v>
      </c>
      <c r="AE45" s="5">
        <v>2</v>
      </c>
      <c r="AF45" s="5">
        <v>1</v>
      </c>
      <c r="AG45" s="6">
        <v>0</v>
      </c>
      <c r="AH45" s="6">
        <v>7</v>
      </c>
      <c r="AI45" s="5">
        <v>7.5</v>
      </c>
      <c r="AJ45" s="13">
        <v>1</v>
      </c>
      <c r="AK45" s="11">
        <v>0.5</v>
      </c>
      <c r="AL45" s="5">
        <v>0</v>
      </c>
      <c r="AM45" s="5">
        <v>0</v>
      </c>
      <c r="AN45" s="5" t="s">
        <v>62</v>
      </c>
      <c r="AO45" s="5" t="s">
        <v>62</v>
      </c>
      <c r="AP45" s="5" t="s">
        <v>62</v>
      </c>
      <c r="AQ45" s="5" t="s">
        <v>159</v>
      </c>
      <c r="BN45" s="3" t="str">
        <f t="shared" si="132"/>
        <v>submarine = {</v>
      </c>
      <c r="BO45" s="3" t="str">
        <f t="shared" si="133"/>
        <v>active = no</v>
      </c>
      <c r="BP45" s="3" t="str">
        <f t="shared" si="134"/>
        <v>air_attack = 0</v>
      </c>
      <c r="BQ45" s="3" t="str">
        <f t="shared" si="135"/>
        <v>air_defence = 0.5</v>
      </c>
      <c r="BR45" s="3" t="str">
        <f t="shared" si="136"/>
        <v>build_cost_ic = 2.5</v>
      </c>
      <c r="BS45" s="3" t="str">
        <f t="shared" si="137"/>
        <v>build_cost_manpower = 0.14</v>
      </c>
      <c r="BT45" s="3" t="str">
        <f t="shared" si="138"/>
        <v>build_time = 300</v>
      </c>
      <c r="BU45" s="3" t="str">
        <f t="shared" si="139"/>
        <v>completion_size = 0.6</v>
      </c>
      <c r="BV45" s="3" t="str">
        <f t="shared" si="140"/>
        <v>default_morale = 0.35</v>
      </c>
      <c r="BW45" s="3" t="str">
        <f t="shared" si="141"/>
        <v>default_organisation = 25</v>
      </c>
      <c r="BX45" s="3" t="str">
        <f t="shared" si="142"/>
        <v>fuel_consumption = 0.1</v>
      </c>
      <c r="BY45" s="3" t="str">
        <f t="shared" si="143"/>
        <v>max_strength = 100</v>
      </c>
      <c r="BZ45" s="3" t="str">
        <f t="shared" si="144"/>
        <v>maximum_speed = 11.9</v>
      </c>
      <c r="CA45" s="3" t="str">
        <f t="shared" si="145"/>
        <v>officers = 14</v>
      </c>
      <c r="CB45" s="3" t="str">
        <f t="shared" si="146"/>
        <v>on_completion = submarine_practical</v>
      </c>
      <c r="CC45" s="3" t="str">
        <f t="shared" si="147"/>
        <v>priority = 3</v>
      </c>
      <c r="CD45" s="3" t="str">
        <f t="shared" si="148"/>
        <v>radio_strength = 1</v>
      </c>
      <c r="CE45" s="3" t="str">
        <f t="shared" si="149"/>
        <v>repair_cost_multiplier = 0.05</v>
      </c>
      <c r="CF45" s="3" t="str">
        <f t="shared" si="150"/>
        <v>sprite = Submarine</v>
      </c>
      <c r="CG45" s="3" t="str">
        <f t="shared" si="151"/>
        <v>supply_consumption = 0.2</v>
      </c>
      <c r="CH45" s="3" t="str">
        <f t="shared" si="152"/>
        <v>type = naval</v>
      </c>
      <c r="CI45" s="3" t="str">
        <f t="shared" si="153"/>
        <v/>
      </c>
      <c r="CJ45" s="3" t="str">
        <f t="shared" si="154"/>
        <v>hull = 0.1</v>
      </c>
      <c r="CK45" s="3" t="str">
        <f t="shared" si="155"/>
        <v/>
      </c>
      <c r="CL45" s="3" t="str">
        <f t="shared" si="156"/>
        <v/>
      </c>
      <c r="CM45" s="3" t="str">
        <f t="shared" si="157"/>
        <v/>
      </c>
      <c r="CN45" s="3" t="str">
        <f t="shared" si="158"/>
        <v>transport_capability = 0</v>
      </c>
      <c r="CO45" s="3" t="str">
        <f t="shared" si="159"/>
        <v>range = 0</v>
      </c>
      <c r="CP45" s="3" t="str">
        <f t="shared" si="160"/>
        <v>distance = 0.04</v>
      </c>
      <c r="CQ45" s="3" t="str">
        <f t="shared" si="161"/>
        <v>surface_detection = 2</v>
      </c>
      <c r="CR45" s="3" t="str">
        <f t="shared" si="162"/>
        <v>air_detection = 1</v>
      </c>
      <c r="CS45" s="3" t="str">
        <f t="shared" si="163"/>
        <v>sub_detection = 0</v>
      </c>
      <c r="CT45" s="3" t="str">
        <f t="shared" si="164"/>
        <v>visibility = 7</v>
      </c>
      <c r="CU45" s="3" t="str">
        <f t="shared" si="165"/>
        <v>sea_defence = 7.5</v>
      </c>
      <c r="CV45" s="3" t="str">
        <f t="shared" si="166"/>
        <v>convoy_attack = 1</v>
      </c>
      <c r="CW45" s="3" t="str">
        <f t="shared" si="167"/>
        <v>sea_attack = 0.5</v>
      </c>
      <c r="CX45" s="3" t="str">
        <f t="shared" si="168"/>
        <v>sub_attack = 0</v>
      </c>
      <c r="CY45" s="3" t="str">
        <f t="shared" si="169"/>
        <v>shore_bombardment = 0</v>
      </c>
      <c r="CZ45" s="3" t="str">
        <f t="shared" si="170"/>
        <v/>
      </c>
      <c r="DA45" s="3" t="str">
        <f t="shared" si="171"/>
        <v/>
      </c>
      <c r="DB45" s="3" t="str">
        <f t="shared" si="172"/>
        <v/>
      </c>
      <c r="DC45" s="3" t="str">
        <f t="shared" si="173"/>
        <v>is_sub = yes</v>
      </c>
      <c r="DD45" s="3" t="s">
        <v>0</v>
      </c>
      <c r="DZ45" s="3" t="str">
        <f t="shared" si="174"/>
        <v xml:space="preserve">submarine = {
active = no
air_attack = 0
air_defence = 0.5
build_cost_ic = 2.5
build_cost_manpower = 0.14
build_time = 300
completion_size = 0.6
default_morale = 0.35
default_organisation = 25
fuel_consumption = 0.1
max_strength = 100
maximum_speed = 11.9
officers = 14
on_completion = submarine_practical
priority = 3
radio_strength = 1
repair_cost_multiplier = 0.05
sprite = Submarine
supply_consumption = 0.2
type = naval
hull = 0.1
transport_capability = 0
range = 0
distance = 0.04
surface_detection = 2
air_detection = 1
sub_detection = 0
visibility = 7
sea_defence = 7.5
convoy_attack = 1
sea_attack = 0.5
sub_attack = 0
shore_bombardment = 0
is_sub = yes
}
</v>
      </c>
    </row>
    <row r="46" spans="1:130" s="3" customFormat="1" x14ac:dyDescent="0.25">
      <c r="A46" s="2" t="str">
        <f t="shared" ca="1" si="131"/>
        <v>C:\Program Files (x86)\Paradox Interactive\Hearts of Iron III\tfh\mod\ww1tfh\units\transport.txt</v>
      </c>
      <c r="B46" s="3" t="s">
        <v>298</v>
      </c>
      <c r="C46" s="5" t="s">
        <v>62</v>
      </c>
      <c r="D46" s="6">
        <v>0</v>
      </c>
      <c r="E46" s="6">
        <v>0</v>
      </c>
      <c r="F46" s="5">
        <v>5</v>
      </c>
      <c r="G46" s="5">
        <v>1</v>
      </c>
      <c r="H46" s="5">
        <v>90</v>
      </c>
      <c r="I46" s="5">
        <v>0.4</v>
      </c>
      <c r="J46" s="5">
        <v>0.2</v>
      </c>
      <c r="K46" s="5">
        <v>20</v>
      </c>
      <c r="L46" s="6">
        <v>0.5</v>
      </c>
      <c r="M46" s="5">
        <v>100</v>
      </c>
      <c r="N46" s="6">
        <v>12</v>
      </c>
      <c r="O46" s="5">
        <v>0</v>
      </c>
      <c r="P46" s="5" t="s">
        <v>313</v>
      </c>
      <c r="Q46" s="5">
        <v>1</v>
      </c>
      <c r="R46" s="5">
        <v>1</v>
      </c>
      <c r="S46" s="5">
        <v>0.05</v>
      </c>
      <c r="T46" s="5" t="s">
        <v>328</v>
      </c>
      <c r="U46" s="5">
        <v>0.5</v>
      </c>
      <c r="V46" s="5" t="s">
        <v>314</v>
      </c>
      <c r="W46" s="5" t="s">
        <v>159</v>
      </c>
      <c r="X46" s="6">
        <v>0.6</v>
      </c>
      <c r="Y46" s="5" t="s">
        <v>62</v>
      </c>
      <c r="Z46" s="5" t="s">
        <v>62</v>
      </c>
      <c r="AA46" s="5" t="s">
        <v>62</v>
      </c>
      <c r="AB46" s="5">
        <v>40</v>
      </c>
      <c r="AC46" s="5">
        <v>3000</v>
      </c>
      <c r="AD46" s="5">
        <v>0.1</v>
      </c>
      <c r="AE46" s="5">
        <v>0</v>
      </c>
      <c r="AF46" s="5">
        <v>0</v>
      </c>
      <c r="AG46" s="6">
        <v>0</v>
      </c>
      <c r="AH46" s="5">
        <v>90</v>
      </c>
      <c r="AI46" s="5">
        <v>0</v>
      </c>
      <c r="AJ46" s="13">
        <v>0</v>
      </c>
      <c r="AK46" s="11">
        <v>0</v>
      </c>
      <c r="AL46" s="5">
        <v>0</v>
      </c>
      <c r="AM46" s="5">
        <v>0</v>
      </c>
      <c r="AN46" s="5" t="s">
        <v>62</v>
      </c>
      <c r="AO46" s="5" t="s">
        <v>62</v>
      </c>
      <c r="AP46" s="5" t="s">
        <v>62</v>
      </c>
      <c r="AQ46" s="5" t="s">
        <v>62</v>
      </c>
      <c r="BN46" s="3" t="str">
        <f>B46&amp;"_ship = {"</f>
        <v>transport_ship = {</v>
      </c>
      <c r="BO46" s="3" t="str">
        <f t="shared" si="133"/>
        <v/>
      </c>
      <c r="BP46" s="3" t="str">
        <f t="shared" si="134"/>
        <v>air_attack = 0</v>
      </c>
      <c r="BQ46" s="3" t="str">
        <f t="shared" si="135"/>
        <v>air_defence = 0</v>
      </c>
      <c r="BR46" s="3" t="str">
        <f t="shared" si="136"/>
        <v>build_cost_ic = 5</v>
      </c>
      <c r="BS46" s="3" t="str">
        <f t="shared" si="137"/>
        <v>build_cost_manpower = 1</v>
      </c>
      <c r="BT46" s="3" t="str">
        <f t="shared" si="138"/>
        <v>build_time = 90</v>
      </c>
      <c r="BU46" s="3" t="str">
        <f t="shared" si="139"/>
        <v>completion_size = 0.4</v>
      </c>
      <c r="BV46" s="3" t="str">
        <f t="shared" si="140"/>
        <v>default_morale = 0.2</v>
      </c>
      <c r="BW46" s="3" t="str">
        <f t="shared" si="141"/>
        <v>default_organisation = 20</v>
      </c>
      <c r="BX46" s="3" t="str">
        <f t="shared" si="142"/>
        <v>fuel_consumption = 0.5</v>
      </c>
      <c r="BY46" s="3" t="str">
        <f t="shared" si="143"/>
        <v>max_strength = 100</v>
      </c>
      <c r="BZ46" s="3" t="str">
        <f t="shared" si="144"/>
        <v>maximum_speed = 12</v>
      </c>
      <c r="CA46" s="3" t="str">
        <f t="shared" si="145"/>
        <v>officers = 0</v>
      </c>
      <c r="CB46" s="3" t="str">
        <f t="shared" si="146"/>
        <v>on_completion = transport_practical</v>
      </c>
      <c r="CC46" s="3" t="str">
        <f t="shared" si="147"/>
        <v>priority = 1</v>
      </c>
      <c r="CD46" s="3" t="str">
        <f t="shared" si="148"/>
        <v>radio_strength = 1</v>
      </c>
      <c r="CE46" s="3" t="str">
        <f t="shared" si="149"/>
        <v>repair_cost_multiplier = 0.05</v>
      </c>
      <c r="CF46" s="3" t="str">
        <f t="shared" si="150"/>
        <v>sprite = Transportship</v>
      </c>
      <c r="CG46" s="3" t="str">
        <f t="shared" si="151"/>
        <v>supply_consumption = 0.5</v>
      </c>
      <c r="CH46" s="3" t="str">
        <f t="shared" si="152"/>
        <v>type = naval</v>
      </c>
      <c r="CI46" s="3" t="str">
        <f t="shared" si="153"/>
        <v>transport = yes</v>
      </c>
      <c r="CJ46" s="3" t="str">
        <f t="shared" si="154"/>
        <v>hull = 0.6</v>
      </c>
      <c r="CK46" s="3" t="str">
        <f t="shared" si="155"/>
        <v/>
      </c>
      <c r="CL46" s="3" t="str">
        <f t="shared" si="156"/>
        <v/>
      </c>
      <c r="CM46" s="3" t="str">
        <f t="shared" si="157"/>
        <v/>
      </c>
      <c r="CN46" s="3" t="str">
        <f t="shared" si="158"/>
        <v>transport_capability = 40</v>
      </c>
      <c r="CO46" s="3" t="str">
        <f t="shared" si="159"/>
        <v>range = 3000</v>
      </c>
      <c r="CP46" s="3" t="str">
        <f t="shared" si="160"/>
        <v>distance = 0.1</v>
      </c>
      <c r="CQ46" s="3" t="str">
        <f t="shared" si="161"/>
        <v>surface_detection = 0</v>
      </c>
      <c r="CR46" s="3" t="str">
        <f t="shared" si="162"/>
        <v>air_detection = 0</v>
      </c>
      <c r="CS46" s="3" t="str">
        <f t="shared" si="163"/>
        <v>sub_detection = 0</v>
      </c>
      <c r="CT46" s="3" t="str">
        <f t="shared" si="164"/>
        <v>visibility = 90</v>
      </c>
      <c r="CU46" s="3" t="str">
        <f t="shared" si="165"/>
        <v>sea_defence = 0</v>
      </c>
      <c r="CV46" s="3" t="str">
        <f t="shared" si="166"/>
        <v>convoy_attack = 0</v>
      </c>
      <c r="CW46" s="3" t="str">
        <f t="shared" si="167"/>
        <v>sea_attack = 0</v>
      </c>
      <c r="CX46" s="3" t="str">
        <f t="shared" si="168"/>
        <v>sub_attack = 0</v>
      </c>
      <c r="CY46" s="3" t="str">
        <f t="shared" si="169"/>
        <v>shore_bombardment = 0</v>
      </c>
      <c r="CZ46" s="3" t="str">
        <f t="shared" si="170"/>
        <v/>
      </c>
      <c r="DA46" s="3" t="str">
        <f t="shared" si="171"/>
        <v/>
      </c>
      <c r="DB46" s="3" t="str">
        <f t="shared" si="172"/>
        <v/>
      </c>
      <c r="DC46" s="3" t="str">
        <f t="shared" si="173"/>
        <v/>
      </c>
      <c r="DD46" s="3" t="s">
        <v>0</v>
      </c>
      <c r="DZ46" s="3" t="str">
        <f t="shared" si="174"/>
        <v xml:space="preserve">transport_ship = {
air_attack = 0
air_defence = 0
build_cost_ic = 5
build_cost_manpower = 1
build_time = 90
completion_size = 0.4
default_morale = 0.2
default_organisation = 20
fuel_consumption = 0.5
max_strength = 100
maximum_speed = 12
officers = 0
on_completion = transport_practical
priority = 1
radio_strength = 1
repair_cost_multiplier = 0.05
sprite = Transportship
supply_consumption = 0.5
type = naval
transport = yes
hull = 0.6
transport_capability = 40
range = 3000
distance = 0.1
surface_detection = 0
air_detection = 0
sub_detection = 0
visibility = 90
sea_defence = 0
convoy_attack = 0
sea_attack = 0
sub_attack = 0
shore_bombardment = 0
}
</v>
      </c>
    </row>
    <row r="47" spans="1:130" s="3" customFormat="1" x14ac:dyDescent="0.25">
      <c r="A47" s="2" t="str">
        <f t="shared" ca="1" si="131"/>
        <v>C:\Program Files (x86)\Paradox Interactive\Hearts of Iron III\tfh\mod\ww1tfh\units\dreadnaught.txt</v>
      </c>
      <c r="B47" s="3" t="s">
        <v>299</v>
      </c>
      <c r="C47" s="5" t="s">
        <v>90</v>
      </c>
      <c r="D47" s="6">
        <v>0</v>
      </c>
      <c r="E47" s="6">
        <v>2</v>
      </c>
      <c r="F47" s="5">
        <v>6.3</v>
      </c>
      <c r="G47" s="5">
        <v>0.83</v>
      </c>
      <c r="H47" s="5">
        <v>650</v>
      </c>
      <c r="I47" s="5">
        <v>3.4</v>
      </c>
      <c r="J47" s="5">
        <v>0.3</v>
      </c>
      <c r="K47" s="5">
        <v>30</v>
      </c>
      <c r="L47" s="6">
        <v>1.4</v>
      </c>
      <c r="M47" s="5">
        <v>100</v>
      </c>
      <c r="N47" s="6">
        <v>20.350000000000001</v>
      </c>
      <c r="O47" s="5">
        <v>83</v>
      </c>
      <c r="P47" s="5" t="s">
        <v>315</v>
      </c>
      <c r="Q47" s="5">
        <v>12</v>
      </c>
      <c r="R47" s="5">
        <v>1.25</v>
      </c>
      <c r="S47" s="5">
        <v>0.05</v>
      </c>
      <c r="T47" s="5" t="s">
        <v>317</v>
      </c>
      <c r="U47" s="5">
        <v>0.8</v>
      </c>
      <c r="V47" s="5" t="s">
        <v>314</v>
      </c>
      <c r="W47" s="5" t="s">
        <v>62</v>
      </c>
      <c r="X47" s="6">
        <v>1</v>
      </c>
      <c r="Y47" s="5" t="s">
        <v>62</v>
      </c>
      <c r="Z47" s="5" t="s">
        <v>62</v>
      </c>
      <c r="AA47" s="5" t="s">
        <v>62</v>
      </c>
      <c r="AB47" s="5">
        <v>0</v>
      </c>
      <c r="AC47" s="5">
        <v>5075</v>
      </c>
      <c r="AD47" s="5">
        <v>0.23</v>
      </c>
      <c r="AE47" s="5">
        <v>1</v>
      </c>
      <c r="AF47" s="5">
        <v>1</v>
      </c>
      <c r="AG47" s="6">
        <v>0</v>
      </c>
      <c r="AH47" s="5">
        <v>100</v>
      </c>
      <c r="AI47" s="5">
        <v>2.5</v>
      </c>
      <c r="AJ47" s="13">
        <v>22</v>
      </c>
      <c r="AK47" s="11">
        <v>16.5</v>
      </c>
      <c r="AL47" s="5">
        <v>0</v>
      </c>
      <c r="AM47" s="5">
        <v>14</v>
      </c>
      <c r="AN47" s="5" t="s">
        <v>159</v>
      </c>
      <c r="AO47" s="5" t="s">
        <v>159</v>
      </c>
      <c r="AP47" s="5" t="s">
        <v>62</v>
      </c>
      <c r="AQ47" s="5" t="s">
        <v>62</v>
      </c>
      <c r="BN47" s="3" t="str">
        <f>B47&amp;" = {"</f>
        <v>dreadnaught = {</v>
      </c>
      <c r="BO47" s="3" t="str">
        <f t="shared" si="133"/>
        <v>active = no</v>
      </c>
      <c r="BP47" s="3" t="str">
        <f t="shared" si="134"/>
        <v>air_attack = 0</v>
      </c>
      <c r="BQ47" s="3" t="str">
        <f t="shared" si="135"/>
        <v>air_defence = 2</v>
      </c>
      <c r="BR47" s="3" t="str">
        <f t="shared" si="136"/>
        <v>build_cost_ic = 6.3</v>
      </c>
      <c r="BS47" s="3" t="str">
        <f t="shared" si="137"/>
        <v>build_cost_manpower = 0.83</v>
      </c>
      <c r="BT47" s="3" t="str">
        <f t="shared" si="138"/>
        <v>build_time = 650</v>
      </c>
      <c r="BU47" s="3" t="str">
        <f t="shared" si="139"/>
        <v>completion_size = 3.4</v>
      </c>
      <c r="BV47" s="3" t="str">
        <f t="shared" si="140"/>
        <v>default_morale = 0.3</v>
      </c>
      <c r="BW47" s="3" t="str">
        <f t="shared" si="141"/>
        <v>default_organisation = 30</v>
      </c>
      <c r="BX47" s="3" t="str">
        <f t="shared" si="142"/>
        <v>fuel_consumption = 1.4</v>
      </c>
      <c r="BY47" s="3" t="str">
        <f t="shared" si="143"/>
        <v>max_strength = 100</v>
      </c>
      <c r="BZ47" s="3" t="str">
        <f t="shared" si="144"/>
        <v>maximum_speed = 20.35</v>
      </c>
      <c r="CA47" s="3" t="str">
        <f t="shared" si="145"/>
        <v>officers = 83</v>
      </c>
      <c r="CB47" s="3" t="str">
        <f t="shared" si="146"/>
        <v>on_completion = capitalship_practical</v>
      </c>
      <c r="CC47" s="3" t="str">
        <f t="shared" si="147"/>
        <v>priority = 12</v>
      </c>
      <c r="CD47" s="3" t="str">
        <f t="shared" si="148"/>
        <v>radio_strength = 1.25</v>
      </c>
      <c r="CE47" s="3" t="str">
        <f t="shared" si="149"/>
        <v>repair_cost_multiplier = 0.05</v>
      </c>
      <c r="CF47" s="3" t="str">
        <f t="shared" si="150"/>
        <v>sprite = Battleship</v>
      </c>
      <c r="CG47" s="3" t="str">
        <f t="shared" si="151"/>
        <v>supply_consumption = 0.8</v>
      </c>
      <c r="CH47" s="3" t="str">
        <f t="shared" si="152"/>
        <v>type = naval</v>
      </c>
      <c r="CI47" s="3" t="str">
        <f t="shared" si="153"/>
        <v/>
      </c>
      <c r="CJ47" s="3" t="str">
        <f t="shared" si="154"/>
        <v>hull = 1</v>
      </c>
      <c r="CK47" s="3" t="str">
        <f t="shared" si="155"/>
        <v/>
      </c>
      <c r="CL47" s="3" t="str">
        <f t="shared" si="156"/>
        <v/>
      </c>
      <c r="CM47" s="3" t="str">
        <f t="shared" si="157"/>
        <v/>
      </c>
      <c r="CN47" s="3" t="str">
        <f t="shared" si="158"/>
        <v>transport_capability = 0</v>
      </c>
      <c r="CO47" s="3" t="str">
        <f t="shared" si="159"/>
        <v>range = 5075</v>
      </c>
      <c r="CP47" s="3" t="str">
        <f t="shared" si="160"/>
        <v>distance = 0.23</v>
      </c>
      <c r="CQ47" s="3" t="str">
        <f t="shared" si="161"/>
        <v>surface_detection = 1</v>
      </c>
      <c r="CR47" s="3" t="str">
        <f t="shared" si="162"/>
        <v>air_detection = 1</v>
      </c>
      <c r="CS47" s="3" t="str">
        <f t="shared" si="163"/>
        <v>sub_detection = 0</v>
      </c>
      <c r="CT47" s="3" t="str">
        <f t="shared" si="164"/>
        <v>visibility = 100</v>
      </c>
      <c r="CU47" s="3" t="str">
        <f t="shared" si="165"/>
        <v>sea_defence = 2.5</v>
      </c>
      <c r="CV47" s="3" t="str">
        <f t="shared" si="166"/>
        <v>convoy_attack = 22</v>
      </c>
      <c r="CW47" s="3" t="str">
        <f t="shared" si="167"/>
        <v>sea_attack = 16.5</v>
      </c>
      <c r="CX47" s="3" t="str">
        <f t="shared" si="168"/>
        <v>sub_attack = 0</v>
      </c>
      <c r="CY47" s="3" t="str">
        <f t="shared" si="169"/>
        <v>shore_bombardment = 14</v>
      </c>
      <c r="CZ47" s="3" t="str">
        <f t="shared" si="170"/>
        <v>capital = yes</v>
      </c>
      <c r="DA47" s="3" t="str">
        <f t="shared" si="171"/>
        <v>can_be_pride = yes</v>
      </c>
      <c r="DB47" s="3" t="str">
        <f t="shared" si="172"/>
        <v/>
      </c>
      <c r="DC47" s="3" t="str">
        <f t="shared" si="173"/>
        <v/>
      </c>
      <c r="DD47" s="3" t="s">
        <v>0</v>
      </c>
      <c r="DZ47" s="3" t="str">
        <f t="shared" si="174"/>
        <v xml:space="preserve">dreadnaught = {
active = no
air_attack = 0
air_defence = 2
build_cost_ic = 6.3
build_cost_manpower = 0.83
build_time = 650
completion_size = 3.4
default_morale = 0.3
default_organisation = 30
fuel_consumption = 1.4
max_strength = 100
maximum_speed = 20.35
officers = 83
on_completion = capitalship_practical
priority = 12
radio_strength = 1.25
repair_cost_multiplier = 0.05
sprite = Battleship
supply_consumption = 0.8
type = naval
hull = 1
transport_capability = 0
range = 5075
distance = 0.23
surface_detection = 1
air_detection = 1
sub_detection = 0
visibility = 100
sea_defence = 2.5
convoy_attack = 22
sea_attack = 16.5
sub_attack = 0
shore_bombardment = 14
capital = yes
can_be_pride = yes
}
</v>
      </c>
    </row>
    <row r="48" spans="1:130" x14ac:dyDescent="0.25">
      <c r="A48" s="2" t="str">
        <f t="shared" ca="1" si="131"/>
        <v>C:\Program Files (x86)\Paradox Interactive\Hearts of Iron III\tfh\mod\ww1tfh\units\coastal_submarine.txt</v>
      </c>
      <c r="B48" s="2" t="s">
        <v>333</v>
      </c>
      <c r="C48" s="2" t="s">
        <v>90</v>
      </c>
      <c r="D48" s="2">
        <v>0</v>
      </c>
      <c r="E48" s="2">
        <v>0.5</v>
      </c>
      <c r="F48" s="2">
        <v>1.55</v>
      </c>
      <c r="G48" s="2">
        <v>7.0000000000000007E-2</v>
      </c>
      <c r="H48" s="2">
        <v>200</v>
      </c>
      <c r="I48" s="2">
        <v>0.3</v>
      </c>
      <c r="J48" s="2">
        <v>0.35</v>
      </c>
      <c r="K48" s="2">
        <v>25</v>
      </c>
      <c r="L48" s="12">
        <v>0.05</v>
      </c>
      <c r="M48" s="2">
        <v>100</v>
      </c>
      <c r="N48" s="2">
        <v>8.3000000000000007</v>
      </c>
      <c r="O48" s="2">
        <v>7</v>
      </c>
      <c r="P48" s="2" t="s">
        <v>326</v>
      </c>
      <c r="Q48" s="2">
        <v>2</v>
      </c>
      <c r="R48" s="2">
        <v>1</v>
      </c>
      <c r="S48" s="2">
        <v>0.05</v>
      </c>
      <c r="T48" s="2" t="s">
        <v>327</v>
      </c>
      <c r="U48" s="2">
        <v>0.1</v>
      </c>
      <c r="V48" s="2" t="s">
        <v>314</v>
      </c>
      <c r="W48" s="2" t="s">
        <v>62</v>
      </c>
      <c r="X48" s="2">
        <v>0.05</v>
      </c>
      <c r="Y48" s="2" t="s">
        <v>62</v>
      </c>
      <c r="AB48" s="2">
        <v>0</v>
      </c>
      <c r="AC48" s="2">
        <v>175</v>
      </c>
      <c r="AD48" s="2">
        <v>0.04</v>
      </c>
      <c r="AE48" s="2">
        <v>2</v>
      </c>
      <c r="AF48" s="2">
        <v>1</v>
      </c>
      <c r="AG48" s="2">
        <v>0</v>
      </c>
      <c r="AH48" s="2">
        <v>7</v>
      </c>
      <c r="AI48" s="2">
        <v>10.25</v>
      </c>
      <c r="AJ48" s="14">
        <v>0.5</v>
      </c>
      <c r="AK48" s="2">
        <v>0.25</v>
      </c>
      <c r="AL48" s="2">
        <v>0</v>
      </c>
      <c r="AM48" s="2">
        <v>0</v>
      </c>
      <c r="AN48" s="2" t="s">
        <v>62</v>
      </c>
      <c r="AO48" s="2" t="s">
        <v>62</v>
      </c>
      <c r="AP48" s="2" t="s">
        <v>62</v>
      </c>
      <c r="AQ48" s="2" t="s">
        <v>159</v>
      </c>
      <c r="BN48" s="3" t="str">
        <f t="shared" ref="BN48:BN50" si="175">B48&amp;" = {"</f>
        <v>coastal_submarine = {</v>
      </c>
      <c r="BO48" s="3" t="str">
        <f t="shared" ref="BO48:BO50" si="176">IF(C48="","",C$36&amp;" = "&amp;C48)</f>
        <v>active = no</v>
      </c>
      <c r="BP48" s="3" t="str">
        <f t="shared" ref="BP48:BP50" si="177">IF(D48="","",D$36&amp;" = "&amp;D48)</f>
        <v>air_attack = 0</v>
      </c>
      <c r="BQ48" s="3" t="str">
        <f t="shared" ref="BQ48:BQ50" si="178">IF(E48="","",E$36&amp;" = "&amp;E48)</f>
        <v>air_defence = 0.5</v>
      </c>
      <c r="BR48" s="3" t="str">
        <f t="shared" ref="BR48:BR50" si="179">IF(F48="","",F$36&amp;" = "&amp;F48)</f>
        <v>build_cost_ic = 1.55</v>
      </c>
      <c r="BS48" s="3" t="str">
        <f t="shared" ref="BS48:BS50" si="180">IF(G48="","",G$36&amp;" = "&amp;G48)</f>
        <v>build_cost_manpower = 0.07</v>
      </c>
      <c r="BT48" s="3" t="str">
        <f t="shared" ref="BT48:BT50" si="181">IF(H48="","",H$36&amp;" = "&amp;H48)</f>
        <v>build_time = 200</v>
      </c>
      <c r="BU48" s="3" t="str">
        <f t="shared" ref="BU48:BU50" si="182">IF(I48="","",I$36&amp;" = "&amp;I48)</f>
        <v>completion_size = 0.3</v>
      </c>
      <c r="BV48" s="3" t="str">
        <f t="shared" ref="BV48:BV50" si="183">IF(J48="","",J$36&amp;" = "&amp;J48)</f>
        <v>default_morale = 0.35</v>
      </c>
      <c r="BW48" s="3" t="str">
        <f t="shared" ref="BW48:BW50" si="184">IF(K48="","",K$36&amp;" = "&amp;K48)</f>
        <v>default_organisation = 25</v>
      </c>
      <c r="BX48" s="3" t="str">
        <f t="shared" ref="BX48:BX50" si="185">IF(L48="","",L$36&amp;" = "&amp;L48)</f>
        <v>fuel_consumption = 0.05</v>
      </c>
      <c r="BY48" s="3" t="str">
        <f t="shared" ref="BY48:BY50" si="186">IF(M48="","",M$36&amp;" = "&amp;M48)</f>
        <v>max_strength = 100</v>
      </c>
      <c r="BZ48" s="3" t="str">
        <f t="shared" ref="BZ48:BZ50" si="187">IF(N48="","",N$36&amp;" = "&amp;N48)</f>
        <v>maximum_speed = 8.3</v>
      </c>
      <c r="CA48" s="3" t="str">
        <f t="shared" ref="CA48:CA50" si="188">IF(O48="","",O$36&amp;" = "&amp;O48)</f>
        <v>officers = 7</v>
      </c>
      <c r="CB48" s="3" t="str">
        <f t="shared" ref="CB48:CB50" si="189">IF(P48="","",P$36&amp;" = "&amp;P48)</f>
        <v>on_completion = submarine_practical</v>
      </c>
      <c r="CC48" s="3" t="str">
        <f t="shared" ref="CC48:CC50" si="190">IF(Q48="","",Q$36&amp;" = "&amp;Q48)</f>
        <v>priority = 2</v>
      </c>
      <c r="CD48" s="3" t="str">
        <f t="shared" ref="CD48:CD50" si="191">IF(R48="","",R$36&amp;" = "&amp;R48)</f>
        <v>radio_strength = 1</v>
      </c>
      <c r="CE48" s="3" t="str">
        <f t="shared" ref="CE48:CE50" si="192">IF(S48="","",S$36&amp;" = "&amp;S48)</f>
        <v>repair_cost_multiplier = 0.05</v>
      </c>
      <c r="CF48" s="3" t="str">
        <f t="shared" ref="CF48:CF50" si="193">IF(T48="","",T$36&amp;" = "&amp;T48)</f>
        <v>sprite = Submarine</v>
      </c>
      <c r="CG48" s="3" t="str">
        <f t="shared" ref="CG48:CG50" si="194">IF(U48="","",U$36&amp;" = "&amp;U48)</f>
        <v>supply_consumption = 0.1</v>
      </c>
      <c r="CH48" s="3" t="str">
        <f t="shared" ref="CH48:CH50" si="195">IF(V48="","",V$36&amp;" = "&amp;V48)</f>
        <v>type = naval</v>
      </c>
      <c r="CI48" s="3" t="str">
        <f t="shared" ref="CI48:CI50" si="196">IF(W48="","",W$36&amp;" = "&amp;W48)</f>
        <v/>
      </c>
      <c r="CJ48" s="3" t="str">
        <f t="shared" ref="CJ48:CJ50" si="197">IF(X48="","",X$36&amp;" = "&amp;X48)</f>
        <v>hull = 0.05</v>
      </c>
      <c r="CK48" s="3" t="str">
        <f t="shared" ref="CK48:CK50" si="198">IF(Y48="","",Y$36&amp;" = "&amp;Y48)</f>
        <v/>
      </c>
      <c r="CL48" s="3" t="str">
        <f t="shared" ref="CL48:CL50" si="199">IF(Z48="","",Z$36&amp;" = "&amp;Z48)</f>
        <v/>
      </c>
      <c r="CM48" s="3" t="str">
        <f t="shared" ref="CM48:CM50" si="200">IF(AA48="","",AA$36&amp;" = "&amp;AA48)</f>
        <v/>
      </c>
      <c r="CN48" s="3" t="str">
        <f t="shared" ref="CN48:CN50" si="201">IF(AB48="","",AB$36&amp;" = "&amp;AB48)</f>
        <v>transport_capability = 0</v>
      </c>
      <c r="CO48" s="3" t="str">
        <f t="shared" ref="CO48:CO50" si="202">IF(AC48="","",AC$36&amp;" = "&amp;AC48)</f>
        <v>range = 175</v>
      </c>
      <c r="CP48" s="3" t="str">
        <f t="shared" ref="CP48:CP50" si="203">IF(AD48="","",AD$36&amp;" = "&amp;AD48)</f>
        <v>distance = 0.04</v>
      </c>
      <c r="CQ48" s="3" t="str">
        <f t="shared" ref="CQ48:CQ50" si="204">IF(AE48="","",AE$36&amp;" = "&amp;AE48)</f>
        <v>surface_detection = 2</v>
      </c>
      <c r="CR48" s="3" t="str">
        <f t="shared" ref="CR48:CR50" si="205">IF(AF48="","",AF$36&amp;" = "&amp;AF48)</f>
        <v>air_detection = 1</v>
      </c>
      <c r="CS48" s="3" t="str">
        <f t="shared" ref="CS48:CS50" si="206">IF(AG48="","",AG$36&amp;" = "&amp;AG48)</f>
        <v>sub_detection = 0</v>
      </c>
      <c r="CT48" s="3" t="str">
        <f t="shared" ref="CT48:CT50" si="207">IF(AH48="","",AH$36&amp;" = "&amp;AH48)</f>
        <v>visibility = 7</v>
      </c>
      <c r="CU48" s="3" t="str">
        <f t="shared" ref="CU48:CU50" si="208">IF(AI48="","",AI$36&amp;" = "&amp;AI48)</f>
        <v>sea_defence = 10.25</v>
      </c>
      <c r="CV48" s="3" t="str">
        <f t="shared" ref="CV48:CV50" si="209">IF(AJ48="","",AJ$36&amp;" = "&amp;AJ48)</f>
        <v>convoy_attack = 0.5</v>
      </c>
      <c r="CW48" s="3" t="str">
        <f t="shared" ref="CW48:CW50" si="210">IF(AK48="","",AK$36&amp;" = "&amp;AK48)</f>
        <v>sea_attack = 0.25</v>
      </c>
      <c r="CX48" s="3" t="str">
        <f t="shared" ref="CX48:CX50" si="211">IF(AL48="","",AL$36&amp;" = "&amp;AL48)</f>
        <v>sub_attack = 0</v>
      </c>
      <c r="CY48" s="3" t="str">
        <f t="shared" ref="CY48:CY50" si="212">IF(AM48="","",AM$36&amp;" = "&amp;AM48)</f>
        <v>shore_bombardment = 0</v>
      </c>
      <c r="CZ48" s="3" t="str">
        <f t="shared" ref="CZ48:CZ50" si="213">IF(AN48="","",AN$36&amp;" = "&amp;AN48)</f>
        <v/>
      </c>
      <c r="DA48" s="3" t="str">
        <f t="shared" ref="DA48:DA50" si="214">IF(AO48="","",AO$36&amp;" = "&amp;AO48)</f>
        <v/>
      </c>
      <c r="DB48" s="3" t="str">
        <f t="shared" ref="DB48:DB50" si="215">IF(AP48="","",AP$36&amp;" = "&amp;AP48)</f>
        <v/>
      </c>
      <c r="DC48" s="3" t="str">
        <f t="shared" ref="DC48:DC50" si="216">IF(AQ48="","",AQ$36&amp;" = "&amp;AQ48)</f>
        <v>is_sub = yes</v>
      </c>
      <c r="DD48" s="3" t="s">
        <v>0</v>
      </c>
      <c r="DZ48" s="3" t="str">
        <f t="shared" si="174"/>
        <v xml:space="preserve">coastal_submarine = {
active = no
air_attack = 0
air_defence = 0.5
build_cost_ic = 1.55
build_cost_manpower = 0.07
build_time = 200
completion_size = 0.3
default_morale = 0.35
default_organisation = 25
fuel_consumption = 0.05
max_strength = 100
maximum_speed = 8.3
officers = 7
on_completion = submarine_practical
priority = 2
radio_strength = 1
repair_cost_multiplier = 0.05
sprite = Submarine
supply_consumption = 0.1
type = naval
hull = 0.05
transport_capability = 0
range = 175
distance = 0.04
surface_detection = 2
air_detection = 1
sub_detection = 0
visibility = 7
sea_defence = 10.25
convoy_attack = 0.5
sea_attack = 0.25
sub_attack = 0
shore_bombardment = 0
is_sub = yes
}
</v>
      </c>
    </row>
    <row r="49" spans="1:130" x14ac:dyDescent="0.25">
      <c r="A49" s="2" t="str">
        <f t="shared" ca="1" si="131"/>
        <v>C:\Program Files (x86)\Paradox Interactive\Hearts of Iron III\tfh\mod\ww1tfh\units\longrange_submarine.txt</v>
      </c>
      <c r="B49" s="2" t="s">
        <v>334</v>
      </c>
      <c r="C49" s="2" t="s">
        <v>90</v>
      </c>
      <c r="D49" s="2">
        <v>0</v>
      </c>
      <c r="E49" s="2">
        <v>0.5</v>
      </c>
      <c r="F49" s="2">
        <v>4.9000000000000004</v>
      </c>
      <c r="G49" s="2">
        <v>0.24</v>
      </c>
      <c r="H49" s="2">
        <v>400</v>
      </c>
      <c r="I49" s="2">
        <v>1.6</v>
      </c>
      <c r="J49" s="2">
        <v>0.35</v>
      </c>
      <c r="K49" s="2">
        <v>25</v>
      </c>
      <c r="L49" s="12">
        <v>0.3</v>
      </c>
      <c r="M49" s="2">
        <v>100</v>
      </c>
      <c r="N49" s="2">
        <v>14</v>
      </c>
      <c r="O49" s="2">
        <v>24</v>
      </c>
      <c r="P49" s="2" t="s">
        <v>326</v>
      </c>
      <c r="Q49" s="2">
        <v>4</v>
      </c>
      <c r="R49" s="2">
        <v>1</v>
      </c>
      <c r="S49" s="2">
        <v>0.05</v>
      </c>
      <c r="T49" s="2" t="s">
        <v>327</v>
      </c>
      <c r="U49" s="2">
        <v>0.5</v>
      </c>
      <c r="V49" s="2" t="s">
        <v>314</v>
      </c>
      <c r="W49" s="2" t="s">
        <v>62</v>
      </c>
      <c r="X49" s="2">
        <v>0.3</v>
      </c>
      <c r="Y49" s="2" t="s">
        <v>62</v>
      </c>
      <c r="AB49" s="2">
        <v>0</v>
      </c>
      <c r="AC49" s="2">
        <v>0</v>
      </c>
      <c r="AD49" s="2">
        <v>0.04</v>
      </c>
      <c r="AE49" s="2">
        <v>2</v>
      </c>
      <c r="AF49" s="2">
        <v>1</v>
      </c>
      <c r="AG49" s="2">
        <v>0</v>
      </c>
      <c r="AH49" s="2">
        <v>8.5</v>
      </c>
      <c r="AI49" s="2">
        <v>4.25</v>
      </c>
      <c r="AJ49" s="14">
        <v>1</v>
      </c>
      <c r="AK49" s="2">
        <v>0.5</v>
      </c>
      <c r="AL49" s="2">
        <v>0</v>
      </c>
      <c r="AM49" s="2">
        <v>0</v>
      </c>
      <c r="AN49" s="2" t="s">
        <v>62</v>
      </c>
      <c r="AO49" s="2" t="s">
        <v>62</v>
      </c>
      <c r="AP49" s="2" t="s">
        <v>62</v>
      </c>
      <c r="AQ49" s="2" t="s">
        <v>159</v>
      </c>
      <c r="BN49" s="3" t="str">
        <f t="shared" si="175"/>
        <v>longrange_submarine = {</v>
      </c>
      <c r="BO49" s="3" t="str">
        <f t="shared" si="176"/>
        <v>active = no</v>
      </c>
      <c r="BP49" s="3" t="str">
        <f t="shared" si="177"/>
        <v>air_attack = 0</v>
      </c>
      <c r="BQ49" s="3" t="str">
        <f t="shared" si="178"/>
        <v>air_defence = 0.5</v>
      </c>
      <c r="BR49" s="3" t="str">
        <f t="shared" si="179"/>
        <v>build_cost_ic = 4.9</v>
      </c>
      <c r="BS49" s="3" t="str">
        <f t="shared" si="180"/>
        <v>build_cost_manpower = 0.24</v>
      </c>
      <c r="BT49" s="3" t="str">
        <f t="shared" si="181"/>
        <v>build_time = 400</v>
      </c>
      <c r="BU49" s="3" t="str">
        <f t="shared" si="182"/>
        <v>completion_size = 1.6</v>
      </c>
      <c r="BV49" s="3" t="str">
        <f t="shared" si="183"/>
        <v>default_morale = 0.35</v>
      </c>
      <c r="BW49" s="3" t="str">
        <f t="shared" si="184"/>
        <v>default_organisation = 25</v>
      </c>
      <c r="BX49" s="3" t="str">
        <f t="shared" si="185"/>
        <v>fuel_consumption = 0.3</v>
      </c>
      <c r="BY49" s="3" t="str">
        <f t="shared" si="186"/>
        <v>max_strength = 100</v>
      </c>
      <c r="BZ49" s="3" t="str">
        <f t="shared" si="187"/>
        <v>maximum_speed = 14</v>
      </c>
      <c r="CA49" s="3" t="str">
        <f t="shared" si="188"/>
        <v>officers = 24</v>
      </c>
      <c r="CB49" s="3" t="str">
        <f t="shared" si="189"/>
        <v>on_completion = submarine_practical</v>
      </c>
      <c r="CC49" s="3" t="str">
        <f t="shared" si="190"/>
        <v>priority = 4</v>
      </c>
      <c r="CD49" s="3" t="str">
        <f t="shared" si="191"/>
        <v>radio_strength = 1</v>
      </c>
      <c r="CE49" s="3" t="str">
        <f t="shared" si="192"/>
        <v>repair_cost_multiplier = 0.05</v>
      </c>
      <c r="CF49" s="3" t="str">
        <f t="shared" si="193"/>
        <v>sprite = Submarine</v>
      </c>
      <c r="CG49" s="3" t="str">
        <f t="shared" si="194"/>
        <v>supply_consumption = 0.5</v>
      </c>
      <c r="CH49" s="3" t="str">
        <f t="shared" si="195"/>
        <v>type = naval</v>
      </c>
      <c r="CI49" s="3" t="str">
        <f t="shared" si="196"/>
        <v/>
      </c>
      <c r="CJ49" s="3" t="str">
        <f t="shared" si="197"/>
        <v>hull = 0.3</v>
      </c>
      <c r="CK49" s="3" t="str">
        <f t="shared" si="198"/>
        <v/>
      </c>
      <c r="CL49" s="3" t="str">
        <f t="shared" si="199"/>
        <v/>
      </c>
      <c r="CM49" s="3" t="str">
        <f t="shared" si="200"/>
        <v/>
      </c>
      <c r="CN49" s="3" t="str">
        <f t="shared" si="201"/>
        <v>transport_capability = 0</v>
      </c>
      <c r="CO49" s="3" t="str">
        <f t="shared" si="202"/>
        <v>range = 0</v>
      </c>
      <c r="CP49" s="3" t="str">
        <f t="shared" si="203"/>
        <v>distance = 0.04</v>
      </c>
      <c r="CQ49" s="3" t="str">
        <f t="shared" si="204"/>
        <v>surface_detection = 2</v>
      </c>
      <c r="CR49" s="3" t="str">
        <f t="shared" si="205"/>
        <v>air_detection = 1</v>
      </c>
      <c r="CS49" s="3" t="str">
        <f t="shared" si="206"/>
        <v>sub_detection = 0</v>
      </c>
      <c r="CT49" s="3" t="str">
        <f t="shared" si="207"/>
        <v>visibility = 8.5</v>
      </c>
      <c r="CU49" s="3" t="str">
        <f t="shared" si="208"/>
        <v>sea_defence = 4.25</v>
      </c>
      <c r="CV49" s="3" t="str">
        <f t="shared" si="209"/>
        <v>convoy_attack = 1</v>
      </c>
      <c r="CW49" s="3" t="str">
        <f t="shared" si="210"/>
        <v>sea_attack = 0.5</v>
      </c>
      <c r="CX49" s="3" t="str">
        <f t="shared" si="211"/>
        <v>sub_attack = 0</v>
      </c>
      <c r="CY49" s="3" t="str">
        <f t="shared" si="212"/>
        <v>shore_bombardment = 0</v>
      </c>
      <c r="CZ49" s="3" t="str">
        <f t="shared" si="213"/>
        <v/>
      </c>
      <c r="DA49" s="3" t="str">
        <f t="shared" si="214"/>
        <v/>
      </c>
      <c r="DB49" s="3" t="str">
        <f t="shared" si="215"/>
        <v/>
      </c>
      <c r="DC49" s="3" t="str">
        <f t="shared" si="216"/>
        <v>is_sub = yes</v>
      </c>
      <c r="DD49" s="3" t="s">
        <v>0</v>
      </c>
      <c r="DZ49" s="3" t="str">
        <f t="shared" si="174"/>
        <v xml:space="preserve">longrange_submarine = {
active = no
air_attack = 0
air_defence = 0.5
build_cost_ic = 4.9
build_cost_manpower = 0.24
build_time = 400
completion_size = 1.6
default_morale = 0.35
default_organisation = 25
fuel_consumption = 0.3
max_strength = 100
maximum_speed = 14
officers = 24
on_completion = submarine_practical
priority = 4
radio_strength = 1
repair_cost_multiplier = 0.05
sprite = Submarine
supply_consumption = 0.5
type = naval
hull = 0.3
transport_capability = 0
range = 0
distance = 0.04
surface_detection = 2
air_detection = 1
sub_detection = 0
visibility = 8.5
sea_defence = 4.25
convoy_attack = 1
sea_attack = 0.5
sub_attack = 0
shore_bombardment = 0
is_sub = yes
}
</v>
      </c>
    </row>
    <row r="50" spans="1:130" x14ac:dyDescent="0.25">
      <c r="A50" s="2" t="str">
        <f t="shared" ca="1" si="131"/>
        <v>C:\Program Files (x86)\Paradox Interactive\Hearts of Iron III\tfh\mod\ww1tfh\units\protected_cruiser.txt</v>
      </c>
      <c r="B50" s="2" t="s">
        <v>335</v>
      </c>
      <c r="C50" s="2" t="s">
        <v>90</v>
      </c>
      <c r="D50" s="2">
        <v>0</v>
      </c>
      <c r="E50" s="2">
        <v>2</v>
      </c>
      <c r="F50" s="2">
        <v>2.35</v>
      </c>
      <c r="G50" s="2">
        <v>0.28999999999999998</v>
      </c>
      <c r="H50" s="2">
        <v>300</v>
      </c>
      <c r="I50" s="2">
        <v>0.6</v>
      </c>
      <c r="J50" s="2">
        <v>0.3</v>
      </c>
      <c r="K50" s="2">
        <v>30</v>
      </c>
      <c r="L50" s="12">
        <v>0.2</v>
      </c>
      <c r="M50" s="2">
        <v>100</v>
      </c>
      <c r="N50" s="2">
        <v>16.899999999999999</v>
      </c>
      <c r="O50" s="2">
        <v>29</v>
      </c>
      <c r="P50" s="2" t="s">
        <v>322</v>
      </c>
      <c r="Q50" s="2">
        <v>6</v>
      </c>
      <c r="R50" s="2">
        <v>1</v>
      </c>
      <c r="S50" s="2">
        <v>0.05</v>
      </c>
      <c r="T50" s="2" t="s">
        <v>325</v>
      </c>
      <c r="U50" s="2">
        <v>0.15</v>
      </c>
      <c r="V50" s="2" t="s">
        <v>314</v>
      </c>
      <c r="W50" s="2" t="s">
        <v>62</v>
      </c>
      <c r="X50" s="2">
        <v>0.15</v>
      </c>
      <c r="Y50" s="2" t="s">
        <v>62</v>
      </c>
      <c r="AB50" s="2">
        <v>0</v>
      </c>
      <c r="AC50" s="2">
        <v>2575</v>
      </c>
      <c r="AD50" s="2">
        <v>0.11</v>
      </c>
      <c r="AE50" s="2">
        <v>2</v>
      </c>
      <c r="AF50" s="2">
        <v>2</v>
      </c>
      <c r="AG50" s="2">
        <v>1</v>
      </c>
      <c r="AH50" s="2">
        <v>60</v>
      </c>
      <c r="AI50" s="2">
        <v>7.5</v>
      </c>
      <c r="AJ50" s="14">
        <v>3</v>
      </c>
      <c r="AK50" s="2">
        <v>1.45</v>
      </c>
      <c r="AL50" s="2">
        <v>0.75</v>
      </c>
      <c r="AM50" s="2">
        <v>1</v>
      </c>
      <c r="AN50" s="2" t="s">
        <v>62</v>
      </c>
      <c r="AO50" s="2" t="s">
        <v>62</v>
      </c>
      <c r="AP50" s="2" t="s">
        <v>62</v>
      </c>
      <c r="AQ50" s="2" t="s">
        <v>62</v>
      </c>
      <c r="BN50" s="3" t="str">
        <f t="shared" si="175"/>
        <v>protected_cruiser = {</v>
      </c>
      <c r="BO50" s="3" t="str">
        <f t="shared" si="176"/>
        <v>active = no</v>
      </c>
      <c r="BP50" s="3" t="str">
        <f t="shared" si="177"/>
        <v>air_attack = 0</v>
      </c>
      <c r="BQ50" s="3" t="str">
        <f t="shared" si="178"/>
        <v>air_defence = 2</v>
      </c>
      <c r="BR50" s="3" t="str">
        <f t="shared" si="179"/>
        <v>build_cost_ic = 2.35</v>
      </c>
      <c r="BS50" s="3" t="str">
        <f t="shared" si="180"/>
        <v>build_cost_manpower = 0.29</v>
      </c>
      <c r="BT50" s="3" t="str">
        <f t="shared" si="181"/>
        <v>build_time = 300</v>
      </c>
      <c r="BU50" s="3" t="str">
        <f t="shared" si="182"/>
        <v>completion_size = 0.6</v>
      </c>
      <c r="BV50" s="3" t="str">
        <f t="shared" si="183"/>
        <v>default_morale = 0.3</v>
      </c>
      <c r="BW50" s="3" t="str">
        <f t="shared" si="184"/>
        <v>default_organisation = 30</v>
      </c>
      <c r="BX50" s="3" t="str">
        <f t="shared" si="185"/>
        <v>fuel_consumption = 0.2</v>
      </c>
      <c r="BY50" s="3" t="str">
        <f t="shared" si="186"/>
        <v>max_strength = 100</v>
      </c>
      <c r="BZ50" s="3" t="str">
        <f t="shared" si="187"/>
        <v>maximum_speed = 16.9</v>
      </c>
      <c r="CA50" s="3" t="str">
        <f t="shared" si="188"/>
        <v>officers = 29</v>
      </c>
      <c r="CB50" s="3" t="str">
        <f t="shared" si="189"/>
        <v>on_completion = cruiser_practical</v>
      </c>
      <c r="CC50" s="3" t="str">
        <f t="shared" si="190"/>
        <v>priority = 6</v>
      </c>
      <c r="CD50" s="3" t="str">
        <f t="shared" si="191"/>
        <v>radio_strength = 1</v>
      </c>
      <c r="CE50" s="3" t="str">
        <f t="shared" si="192"/>
        <v>repair_cost_multiplier = 0.05</v>
      </c>
      <c r="CF50" s="3" t="str">
        <f t="shared" si="193"/>
        <v>sprite = LightCruiser</v>
      </c>
      <c r="CG50" s="3" t="str">
        <f t="shared" si="194"/>
        <v>supply_consumption = 0.15</v>
      </c>
      <c r="CH50" s="3" t="str">
        <f t="shared" si="195"/>
        <v>type = naval</v>
      </c>
      <c r="CI50" s="3" t="str">
        <f t="shared" si="196"/>
        <v/>
      </c>
      <c r="CJ50" s="3" t="str">
        <f t="shared" si="197"/>
        <v>hull = 0.15</v>
      </c>
      <c r="CK50" s="3" t="str">
        <f t="shared" si="198"/>
        <v/>
      </c>
      <c r="CL50" s="3" t="str">
        <f t="shared" si="199"/>
        <v/>
      </c>
      <c r="CM50" s="3" t="str">
        <f t="shared" si="200"/>
        <v/>
      </c>
      <c r="CN50" s="3" t="str">
        <f t="shared" si="201"/>
        <v>transport_capability = 0</v>
      </c>
      <c r="CO50" s="3" t="str">
        <f t="shared" si="202"/>
        <v>range = 2575</v>
      </c>
      <c r="CP50" s="3" t="str">
        <f t="shared" si="203"/>
        <v>distance = 0.11</v>
      </c>
      <c r="CQ50" s="3" t="str">
        <f t="shared" si="204"/>
        <v>surface_detection = 2</v>
      </c>
      <c r="CR50" s="3" t="str">
        <f t="shared" si="205"/>
        <v>air_detection = 2</v>
      </c>
      <c r="CS50" s="3" t="str">
        <f t="shared" si="206"/>
        <v>sub_detection = 1</v>
      </c>
      <c r="CT50" s="3" t="str">
        <f t="shared" si="207"/>
        <v>visibility = 60</v>
      </c>
      <c r="CU50" s="3" t="str">
        <f t="shared" si="208"/>
        <v>sea_defence = 7.5</v>
      </c>
      <c r="CV50" s="3" t="str">
        <f t="shared" si="209"/>
        <v>convoy_attack = 3</v>
      </c>
      <c r="CW50" s="3" t="str">
        <f t="shared" si="210"/>
        <v>sea_attack = 1.45</v>
      </c>
      <c r="CX50" s="3" t="str">
        <f t="shared" si="211"/>
        <v>sub_attack = 0.75</v>
      </c>
      <c r="CY50" s="3" t="str">
        <f t="shared" si="212"/>
        <v>shore_bombardment = 1</v>
      </c>
      <c r="CZ50" s="3" t="str">
        <f t="shared" si="213"/>
        <v/>
      </c>
      <c r="DA50" s="3" t="str">
        <f t="shared" si="214"/>
        <v/>
      </c>
      <c r="DB50" s="3" t="str">
        <f t="shared" si="215"/>
        <v/>
      </c>
      <c r="DC50" s="3" t="str">
        <f t="shared" si="216"/>
        <v/>
      </c>
      <c r="DD50" s="3" t="s">
        <v>0</v>
      </c>
      <c r="DZ50" s="3" t="str">
        <f t="shared" si="174"/>
        <v xml:space="preserve">protected_cruiser = {
active = no
air_attack = 0
air_defence = 2
build_cost_ic = 2.35
build_cost_manpower = 0.29
build_time = 300
completion_size = 0.6
default_morale = 0.3
default_organisation = 30
fuel_consumption = 0.2
max_strength = 100
maximum_speed = 16.9
officers = 29
on_completion = cruiser_practical
priority = 6
radio_strength = 1
repair_cost_multiplier = 0.05
sprite = LightCruiser
supply_consumption = 0.15
type = naval
hull = 0.15
transport_capability = 0
range = 2575
distance = 0.11
surface_detection = 2
air_detection = 2
sub_detection = 1
visibility = 60
sea_defence = 7.5
convoy_attack = 3
sea_attack = 1.45
sub_attack = 0.75
shore_bombardment = 1
}
</v>
      </c>
    </row>
    <row r="51" spans="1:130" x14ac:dyDescent="0.25">
      <c r="AN51" s="2" t="s">
        <v>62</v>
      </c>
      <c r="AO51" s="2" t="s">
        <v>62</v>
      </c>
      <c r="AP51" s="2" t="s">
        <v>62</v>
      </c>
      <c r="AQ51" s="2" t="s">
        <v>62</v>
      </c>
    </row>
    <row r="54" spans="1:130" x14ac:dyDescent="0.25">
      <c r="U54" s="2" t="s">
        <v>340</v>
      </c>
      <c r="V54" s="2" t="s">
        <v>341</v>
      </c>
      <c r="W54" s="2" t="s">
        <v>344</v>
      </c>
      <c r="X54" s="2" t="s">
        <v>345</v>
      </c>
      <c r="Y54" s="2" t="s">
        <v>346</v>
      </c>
    </row>
    <row r="55" spans="1:130" x14ac:dyDescent="0.25">
      <c r="T55" s="2" t="s">
        <v>336</v>
      </c>
      <c r="U55" s="2">
        <v>1</v>
      </c>
      <c r="V55" s="2">
        <v>1</v>
      </c>
      <c r="W55" s="2">
        <v>1913</v>
      </c>
      <c r="X55" s="2">
        <v>1915</v>
      </c>
      <c r="Y55" s="2">
        <v>1916</v>
      </c>
      <c r="Z55" s="2">
        <v>2</v>
      </c>
    </row>
    <row r="56" spans="1:130" x14ac:dyDescent="0.25">
      <c r="T56" s="2" t="s">
        <v>337</v>
      </c>
      <c r="U56" s="2">
        <f>X7</f>
        <v>1</v>
      </c>
      <c r="V56" s="2">
        <v>0.75</v>
      </c>
      <c r="W56" s="2">
        <v>1914</v>
      </c>
      <c r="X56" s="2">
        <v>1914</v>
      </c>
      <c r="Y56" s="2">
        <v>2</v>
      </c>
    </row>
    <row r="57" spans="1:130" x14ac:dyDescent="0.25">
      <c r="T57" s="2" t="s">
        <v>338</v>
      </c>
      <c r="U57" s="2">
        <v>1.5</v>
      </c>
      <c r="V57" s="2">
        <v>1.5</v>
      </c>
      <c r="W57" s="2">
        <v>1915</v>
      </c>
      <c r="X57" s="2">
        <v>1916</v>
      </c>
      <c r="Y57" s="2">
        <v>2</v>
      </c>
    </row>
    <row r="58" spans="1:130" x14ac:dyDescent="0.25">
      <c r="T58" s="2" t="s">
        <v>339</v>
      </c>
      <c r="U58" s="2">
        <f>X6</f>
        <v>5</v>
      </c>
      <c r="V58" s="2">
        <v>1.5</v>
      </c>
      <c r="W58" s="2">
        <v>1916</v>
      </c>
      <c r="X58" s="2">
        <v>1917</v>
      </c>
      <c r="Y58" s="2">
        <v>1918</v>
      </c>
      <c r="Z58" s="2">
        <v>2</v>
      </c>
    </row>
    <row r="59" spans="1:130" x14ac:dyDescent="0.25">
      <c r="T59" s="2" t="s">
        <v>343</v>
      </c>
      <c r="U59" s="2">
        <f>V5</f>
        <v>5</v>
      </c>
      <c r="V59" s="2">
        <v>1.5</v>
      </c>
      <c r="W59" s="2">
        <v>1914</v>
      </c>
      <c r="X59" s="2">
        <v>1916</v>
      </c>
      <c r="Y59" s="2">
        <v>2</v>
      </c>
    </row>
    <row r="63" spans="1:130" x14ac:dyDescent="0.25">
      <c r="U63" s="2" t="s">
        <v>342</v>
      </c>
      <c r="V63" s="2" t="s">
        <v>343</v>
      </c>
      <c r="W63" s="2" t="s">
        <v>337</v>
      </c>
      <c r="X63" s="2" t="s">
        <v>338</v>
      </c>
      <c r="Y63" s="2" t="s">
        <v>339</v>
      </c>
    </row>
    <row r="64" spans="1:130" x14ac:dyDescent="0.25">
      <c r="T64" s="2">
        <v>1914</v>
      </c>
      <c r="U64" s="2">
        <f>U55</f>
        <v>1</v>
      </c>
      <c r="W64" s="2">
        <f>U56</f>
        <v>1</v>
      </c>
    </row>
    <row r="65" spans="19:25" x14ac:dyDescent="0.25">
      <c r="T65" s="2">
        <v>1915</v>
      </c>
      <c r="U65" s="2">
        <f>U64+$V$55</f>
        <v>2</v>
      </c>
      <c r="V65" s="2">
        <f>U59</f>
        <v>5</v>
      </c>
      <c r="W65" s="2">
        <f>W64+$V$56</f>
        <v>1.75</v>
      </c>
      <c r="X65" s="2">
        <f>U57</f>
        <v>1.5</v>
      </c>
    </row>
    <row r="66" spans="19:25" x14ac:dyDescent="0.25">
      <c r="T66" s="2">
        <v>1916</v>
      </c>
      <c r="U66" s="2">
        <f>U65+$V$55</f>
        <v>3</v>
      </c>
      <c r="V66" s="2">
        <f>V65+$V$59</f>
        <v>6.5</v>
      </c>
      <c r="W66" s="2">
        <f>$V$56+W65</f>
        <v>2.5</v>
      </c>
      <c r="X66" s="2">
        <f>X65+$V$57</f>
        <v>3</v>
      </c>
      <c r="Y66" s="2">
        <f>U58</f>
        <v>5</v>
      </c>
    </row>
    <row r="67" spans="19:25" x14ac:dyDescent="0.25">
      <c r="T67" s="2">
        <v>1917</v>
      </c>
      <c r="U67" s="2">
        <f>U66</f>
        <v>3</v>
      </c>
      <c r="V67" s="2">
        <f>V66</f>
        <v>6.5</v>
      </c>
      <c r="W67" s="2">
        <f>W66</f>
        <v>2.5</v>
      </c>
      <c r="X67" s="2">
        <f>X66</f>
        <v>3</v>
      </c>
      <c r="Y67" s="2">
        <f>Y66+V58</f>
        <v>6.5</v>
      </c>
    </row>
    <row r="68" spans="19:25" x14ac:dyDescent="0.25">
      <c r="T68" s="2">
        <v>1918</v>
      </c>
      <c r="U68" s="2">
        <f>U67+V55</f>
        <v>4</v>
      </c>
      <c r="V68" s="2">
        <f>V67+$V$59</f>
        <v>8</v>
      </c>
      <c r="W68" s="2">
        <f>$V$56+W67</f>
        <v>3.25</v>
      </c>
      <c r="X68" s="2">
        <f>X67+$V$57</f>
        <v>4.5</v>
      </c>
      <c r="Y68" s="2">
        <f>Y67+V59</f>
        <v>8</v>
      </c>
    </row>
    <row r="72" spans="19:25" x14ac:dyDescent="0.25">
      <c r="U72" s="17" t="s">
        <v>353</v>
      </c>
      <c r="V72" s="17"/>
    </row>
    <row r="73" spans="19:25" x14ac:dyDescent="0.25">
      <c r="S73" s="2" t="s">
        <v>352</v>
      </c>
      <c r="T73" s="2" t="s">
        <v>354</v>
      </c>
      <c r="U73" s="2" t="s">
        <v>348</v>
      </c>
      <c r="V73" s="2" t="s">
        <v>347</v>
      </c>
    </row>
    <row r="74" spans="19:25" x14ac:dyDescent="0.25">
      <c r="S74" s="2">
        <v>1914</v>
      </c>
      <c r="T74" s="2" t="s">
        <v>349</v>
      </c>
      <c r="U74" s="16" t="str">
        <f>INDEX($W$64:$Y$68,MATCH(S74,$T$64:$T$68,0),MATCH(T74,$W$63:$Y$63,0))&amp;" Armor vs. "&amp;INDEX($U$64:$U$68,MATCH(S74,$T$64:$T$68,0)) &amp;" AP"</f>
        <v>1 Armor vs. 1 AP</v>
      </c>
      <c r="W74" s="2">
        <f>INDEX($W$64:$Y$68,MATCH(S74,$T$64:$T$68,0),MATCH(T74,$W$63:$Y$63,0))-INDEX($U$64:$U$68,MATCH(S74,$T$64:$T$68,0))</f>
        <v>0</v>
      </c>
    </row>
    <row r="75" spans="19:25" x14ac:dyDescent="0.25">
      <c r="S75" s="2">
        <v>1915</v>
      </c>
      <c r="T75" s="2" t="s">
        <v>349</v>
      </c>
      <c r="U75" s="16" t="str">
        <f t="shared" ref="U75:U85" si="217">INDEX($W$64:$Y$68,MATCH(S75,$T$64:$T$68,0),MATCH(T75,$W$63:$Y$63,0))&amp;" Armor vs. "&amp;INDEX($U$64:$U$68,MATCH(S75,$T$64:$T$68,0)) &amp;" AP"</f>
        <v>1.75 Armor vs. 2 AP</v>
      </c>
      <c r="V75" s="16" t="str">
        <f t="shared" ref="V75:V85" si="218">INDEX($W$64:$Y$68,MATCH(S75,$T$64:$T$68,0),MATCH(T75,$W$63:$Y$63,0))&amp;" Armor vs. "&amp;INDEX($V$64:$V$68,MATCH(S75,$T$64:$T$68,0)) &amp;" AP"</f>
        <v>1.75 Armor vs. 5 AP</v>
      </c>
      <c r="W75" s="2">
        <f t="shared" ref="W75:W85" si="219">INDEX($W$64:$Y$68,MATCH(S75,$T$64:$T$68,0),MATCH(T75,$W$63:$Y$63,0))-INDEX($U$64:$U$68,MATCH(S75,$T$64:$T$68,0))</f>
        <v>-0.25</v>
      </c>
      <c r="X75" s="2">
        <f t="shared" ref="X75:X85" si="220">INDEX($W$64:$Y$68,MATCH(S75,$T$64:$T$68,0),MATCH(T75,$W$63:$Y$63,0))-INDEX($V$64:$V$68,MATCH(S75,$T$64:$T$68,0))</f>
        <v>-3.25</v>
      </c>
    </row>
    <row r="76" spans="19:25" x14ac:dyDescent="0.25">
      <c r="S76" s="2">
        <v>1915</v>
      </c>
      <c r="T76" s="2" t="s">
        <v>350</v>
      </c>
      <c r="U76" s="16" t="str">
        <f t="shared" si="217"/>
        <v>1.5 Armor vs. 2 AP</v>
      </c>
      <c r="V76" s="16" t="str">
        <f t="shared" si="218"/>
        <v>1.5 Armor vs. 5 AP</v>
      </c>
      <c r="W76" s="2">
        <f t="shared" si="219"/>
        <v>-0.5</v>
      </c>
      <c r="X76" s="2">
        <f t="shared" si="220"/>
        <v>-3.5</v>
      </c>
    </row>
    <row r="77" spans="19:25" x14ac:dyDescent="0.25">
      <c r="S77" s="2">
        <v>1916</v>
      </c>
      <c r="T77" s="2" t="s">
        <v>349</v>
      </c>
      <c r="U77" s="16" t="str">
        <f t="shared" si="217"/>
        <v>2.5 Armor vs. 3 AP</v>
      </c>
      <c r="V77" s="16" t="str">
        <f t="shared" si="218"/>
        <v>2.5 Armor vs. 6.5 AP</v>
      </c>
      <c r="W77" s="2">
        <f t="shared" si="219"/>
        <v>-0.5</v>
      </c>
      <c r="X77" s="2">
        <f t="shared" si="220"/>
        <v>-4</v>
      </c>
    </row>
    <row r="78" spans="19:25" x14ac:dyDescent="0.25">
      <c r="S78" s="2">
        <v>1916</v>
      </c>
      <c r="T78" s="2" t="s">
        <v>350</v>
      </c>
      <c r="U78" s="16" t="str">
        <f t="shared" si="217"/>
        <v>3 Armor vs. 3 AP</v>
      </c>
      <c r="V78" s="16" t="str">
        <f t="shared" si="218"/>
        <v>3 Armor vs. 6.5 AP</v>
      </c>
      <c r="W78" s="2">
        <f t="shared" si="219"/>
        <v>0</v>
      </c>
      <c r="X78" s="2">
        <f t="shared" si="220"/>
        <v>-3.5</v>
      </c>
    </row>
    <row r="79" spans="19:25" x14ac:dyDescent="0.25">
      <c r="S79" s="2">
        <v>1916</v>
      </c>
      <c r="T79" s="2" t="s">
        <v>351</v>
      </c>
      <c r="U79" s="16" t="str">
        <f t="shared" si="217"/>
        <v>5 Armor vs. 3 AP</v>
      </c>
      <c r="V79" s="16" t="str">
        <f t="shared" si="218"/>
        <v>5 Armor vs. 6.5 AP</v>
      </c>
      <c r="W79" s="2">
        <f t="shared" si="219"/>
        <v>2</v>
      </c>
      <c r="X79" s="2">
        <f t="shared" si="220"/>
        <v>-1.5</v>
      </c>
    </row>
    <row r="80" spans="19:25" x14ac:dyDescent="0.25">
      <c r="S80" s="2">
        <v>1917</v>
      </c>
      <c r="T80" s="2" t="s">
        <v>349</v>
      </c>
      <c r="U80" s="16" t="str">
        <f t="shared" si="217"/>
        <v>2.5 Armor vs. 3 AP</v>
      </c>
      <c r="V80" s="16" t="str">
        <f t="shared" si="218"/>
        <v>2.5 Armor vs. 6.5 AP</v>
      </c>
      <c r="W80" s="2">
        <f t="shared" si="219"/>
        <v>-0.5</v>
      </c>
      <c r="X80" s="2">
        <f t="shared" si="220"/>
        <v>-4</v>
      </c>
    </row>
    <row r="81" spans="19:24" x14ac:dyDescent="0.25">
      <c r="S81" s="2">
        <v>1917</v>
      </c>
      <c r="T81" s="2" t="s">
        <v>350</v>
      </c>
      <c r="U81" s="16" t="str">
        <f t="shared" si="217"/>
        <v>3 Armor vs. 3 AP</v>
      </c>
      <c r="V81" s="16" t="str">
        <f t="shared" si="218"/>
        <v>3 Armor vs. 6.5 AP</v>
      </c>
      <c r="W81" s="2">
        <f t="shared" si="219"/>
        <v>0</v>
      </c>
      <c r="X81" s="2">
        <f t="shared" si="220"/>
        <v>-3.5</v>
      </c>
    </row>
    <row r="82" spans="19:24" x14ac:dyDescent="0.25">
      <c r="S82" s="2">
        <v>1917</v>
      </c>
      <c r="T82" s="2" t="s">
        <v>351</v>
      </c>
      <c r="U82" s="16" t="str">
        <f t="shared" si="217"/>
        <v>6.5 Armor vs. 3 AP</v>
      </c>
      <c r="V82" s="16" t="str">
        <f t="shared" si="218"/>
        <v>6.5 Armor vs. 6.5 AP</v>
      </c>
      <c r="W82" s="2">
        <f t="shared" si="219"/>
        <v>3.5</v>
      </c>
      <c r="X82" s="2">
        <f t="shared" si="220"/>
        <v>0</v>
      </c>
    </row>
    <row r="83" spans="19:24" x14ac:dyDescent="0.25">
      <c r="S83" s="2">
        <v>1918</v>
      </c>
      <c r="T83" s="2" t="s">
        <v>349</v>
      </c>
      <c r="U83" s="16" t="str">
        <f t="shared" si="217"/>
        <v>3.25 Armor vs. 4 AP</v>
      </c>
      <c r="V83" s="16" t="str">
        <f t="shared" si="218"/>
        <v>3.25 Armor vs. 8 AP</v>
      </c>
      <c r="W83" s="2">
        <f t="shared" si="219"/>
        <v>-0.75</v>
      </c>
      <c r="X83" s="2">
        <f t="shared" si="220"/>
        <v>-4.75</v>
      </c>
    </row>
    <row r="84" spans="19:24" x14ac:dyDescent="0.25">
      <c r="S84" s="2">
        <v>1918</v>
      </c>
      <c r="T84" s="2" t="s">
        <v>350</v>
      </c>
      <c r="U84" s="16" t="str">
        <f t="shared" si="217"/>
        <v>4.5 Armor vs. 4 AP</v>
      </c>
      <c r="V84" s="16" t="str">
        <f t="shared" si="218"/>
        <v>4.5 Armor vs. 8 AP</v>
      </c>
      <c r="W84" s="2">
        <f t="shared" si="219"/>
        <v>0.5</v>
      </c>
      <c r="X84" s="2">
        <f t="shared" si="220"/>
        <v>-3.5</v>
      </c>
    </row>
    <row r="85" spans="19:24" x14ac:dyDescent="0.25">
      <c r="S85" s="2">
        <v>1918</v>
      </c>
      <c r="T85" s="2" t="s">
        <v>351</v>
      </c>
      <c r="U85" s="16" t="str">
        <f t="shared" si="217"/>
        <v>8 Armor vs. 4 AP</v>
      </c>
      <c r="V85" s="16" t="str">
        <f t="shared" si="218"/>
        <v>8 Armor vs. 8 AP</v>
      </c>
      <c r="W85" s="2">
        <f t="shared" si="219"/>
        <v>4</v>
      </c>
      <c r="X85" s="2">
        <f t="shared" si="220"/>
        <v>0</v>
      </c>
    </row>
  </sheetData>
  <mergeCells count="1">
    <mergeCell ref="U72:V72"/>
  </mergeCells>
  <conditionalFormatting sqref="U74:V85">
    <cfRule type="expression" dxfId="0" priority="1">
      <formula>W74&gt;0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B21" sqref="B21"/>
    </sheetView>
  </sheetViews>
  <sheetFormatPr defaultRowHeight="15.75" x14ac:dyDescent="0.25"/>
  <sheetData>
    <row r="2" spans="2:3" x14ac:dyDescent="0.25">
      <c r="B2">
        <v>1</v>
      </c>
      <c r="C2" t="s">
        <v>329</v>
      </c>
    </row>
    <row r="3" spans="2:3" x14ac:dyDescent="0.25">
      <c r="B3">
        <v>2</v>
      </c>
      <c r="C3" t="s">
        <v>330</v>
      </c>
    </row>
    <row r="4" spans="2:3" x14ac:dyDescent="0.25">
      <c r="B4">
        <v>3</v>
      </c>
      <c r="C4" t="s">
        <v>331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2014-01-05T13:10:47Z</dcterms:modified>
</cp:coreProperties>
</file>